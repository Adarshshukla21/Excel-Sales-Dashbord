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DD10D226-C011-4C83-9F84-AEEECE2CA2B3}" xr6:coauthVersionLast="47" xr6:coauthVersionMax="47" xr10:uidLastSave="{00000000-0000-0000-0000-000000000000}"/>
  <bookViews>
    <workbookView xWindow="-108" yWindow="-108" windowWidth="23256" windowHeight="13896" tabRatio="943" activeTab="1" xr2:uid="{00000000-000D-0000-FFFF-FFFF00000000}"/>
  </bookViews>
  <sheets>
    <sheet name="pivot" sheetId="3" r:id="rId1"/>
    <sheet name="Dashboard FInal" sheetId="5" r:id="rId2"/>
    <sheet name="Sales Data" sheetId="1" r:id="rId3"/>
    <sheet name="Dashboard Guide" sheetId="2" r:id="rId4"/>
  </sheets>
  <definedNames>
    <definedName name="_xlnm._FilterDatabase" localSheetId="2" hidden="1">'Sales Data'!$A$1:$L$151</definedName>
    <definedName name="_xlchart.v1.4" hidden="1">pivot!$Q$43:$Q$67</definedName>
    <definedName name="_xlchart.v1.5" hidden="1">pivot!$R$42</definedName>
    <definedName name="_xlchart.v1.6" hidden="1">pivot!$R$43:$R$67</definedName>
    <definedName name="_xlchart.v1.7" hidden="1">pivot!$Q$43:$Q$67</definedName>
    <definedName name="_xlchart.v1.8" hidden="1">pivot!$R$42</definedName>
    <definedName name="_xlchart.v1.9" hidden="1">pivot!$R$43:$R$67</definedName>
    <definedName name="_xlchart.v5.0" hidden="1">pivot!$U$33</definedName>
    <definedName name="_xlchart.v5.1" hidden="1">pivot!$U$34:$U$48</definedName>
    <definedName name="_xlchart.v5.10" hidden="1">pivot!$U$33</definedName>
    <definedName name="_xlchart.v5.11" hidden="1">pivot!$U$34:$U$48</definedName>
    <definedName name="_xlchart.v5.12" hidden="1">pivot!$V$33</definedName>
    <definedName name="_xlchart.v5.13" hidden="1">pivot!$V$34:$V$48</definedName>
    <definedName name="_xlchart.v5.2" hidden="1">pivot!$V$33</definedName>
    <definedName name="_xlchart.v5.3" hidden="1">pivot!$V$34:$V$48</definedName>
    <definedName name="Slicer_Category">#N/A</definedName>
  </definedNames>
  <calcPr calcId="191029"/>
  <pivotCaches>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6" i="3" l="1"/>
  <c r="S57" i="3"/>
  <c r="S58" i="3"/>
  <c r="S59" i="3"/>
  <c r="S60" i="3"/>
  <c r="S61" i="3"/>
  <c r="S62" i="3"/>
  <c r="S63" i="3"/>
  <c r="S64" i="3"/>
  <c r="S65" i="3"/>
  <c r="S55" i="3"/>
  <c r="R56" i="3"/>
  <c r="R57" i="3"/>
  <c r="R58" i="3"/>
  <c r="R59" i="3"/>
  <c r="R60" i="3"/>
  <c r="R61" i="3"/>
  <c r="R62" i="3"/>
  <c r="R63" i="3"/>
  <c r="R64" i="3"/>
  <c r="R65" i="3"/>
  <c r="R66" i="3"/>
  <c r="R67" i="3"/>
  <c r="V35" i="3"/>
  <c r="V36" i="3"/>
  <c r="V37" i="3"/>
  <c r="V38" i="3"/>
  <c r="V39" i="3"/>
  <c r="V40" i="3"/>
  <c r="V41" i="3"/>
  <c r="V42" i="3"/>
  <c r="V43" i="3"/>
  <c r="V44" i="3"/>
  <c r="V45" i="3"/>
  <c r="V46" i="3"/>
  <c r="V47" i="3"/>
  <c r="V48" i="3"/>
  <c r="V34" i="3"/>
  <c r="S66" i="3"/>
  <c r="S67" i="3"/>
  <c r="S44" i="3"/>
  <c r="S45" i="3"/>
  <c r="S46" i="3"/>
  <c r="S47" i="3"/>
  <c r="S49" i="3"/>
  <c r="S50" i="3"/>
  <c r="S51" i="3"/>
  <c r="S52" i="3"/>
  <c r="S53" i="3"/>
  <c r="S54" i="3"/>
  <c r="S43" i="3"/>
  <c r="R44" i="3"/>
  <c r="R45" i="3"/>
  <c r="R46" i="3"/>
  <c r="R47" i="3"/>
  <c r="R49" i="3"/>
  <c r="R50" i="3"/>
  <c r="R51" i="3"/>
  <c r="R52" i="3"/>
  <c r="R53" i="3"/>
  <c r="R54" i="3"/>
  <c r="R43" i="3"/>
  <c r="I11" i="3"/>
  <c r="E11" i="3"/>
  <c r="B11" i="3"/>
</calcChain>
</file>

<file path=xl/sharedStrings.xml><?xml version="1.0" encoding="utf-8"?>
<sst xmlns="http://schemas.openxmlformats.org/spreadsheetml/2006/main" count="907" uniqueCount="114">
  <si>
    <t>Date</t>
  </si>
  <si>
    <t>Name</t>
  </si>
  <si>
    <t>Category</t>
  </si>
  <si>
    <t>Product Name</t>
  </si>
  <si>
    <t>State</t>
  </si>
  <si>
    <t>Gender</t>
  </si>
  <si>
    <t>Quantity</t>
  </si>
  <si>
    <t>Cost</t>
  </si>
  <si>
    <t>Price</t>
  </si>
  <si>
    <t>Purchase Cost</t>
  </si>
  <si>
    <t>Sale Price</t>
  </si>
  <si>
    <t>Profit</t>
  </si>
  <si>
    <t>Solid Ventures</t>
  </si>
  <si>
    <t>Electronics</t>
  </si>
  <si>
    <t>Speaker</t>
  </si>
  <si>
    <t>Andhra Pradesh</t>
  </si>
  <si>
    <t>Female</t>
  </si>
  <si>
    <t>Mystic India Exports</t>
  </si>
  <si>
    <t>Automobile</t>
  </si>
  <si>
    <t>Car</t>
  </si>
  <si>
    <t>Bihar</t>
  </si>
  <si>
    <t>Harmony Foods</t>
  </si>
  <si>
    <t>Accessories</t>
  </si>
  <si>
    <t>Delhi</t>
  </si>
  <si>
    <t>Male</t>
  </si>
  <si>
    <t>Sacred Roots Apparel</t>
  </si>
  <si>
    <t>Helmet</t>
  </si>
  <si>
    <t>Punjab</t>
  </si>
  <si>
    <t>Golden Horizon Ventures</t>
  </si>
  <si>
    <t>Fashion</t>
  </si>
  <si>
    <t>Jeans</t>
  </si>
  <si>
    <t>Maharashtra</t>
  </si>
  <si>
    <t>Divine Creations</t>
  </si>
  <si>
    <t>Metro Tech Solutions</t>
  </si>
  <si>
    <t>TV</t>
  </si>
  <si>
    <t>Karnataka</t>
  </si>
  <si>
    <t>Green Leaf Enterprises</t>
  </si>
  <si>
    <t>Food</t>
  </si>
  <si>
    <t>Juice</t>
  </si>
  <si>
    <t>Telangana</t>
  </si>
  <si>
    <t>Prestige Automobiles</t>
  </si>
  <si>
    <t>Madhya Pradesh</t>
  </si>
  <si>
    <t>Spices</t>
  </si>
  <si>
    <t>Tamil Nadu</t>
  </si>
  <si>
    <t>Radiant Health Systems</t>
  </si>
  <si>
    <t>Healthcare</t>
  </si>
  <si>
    <t>First Aid Kit</t>
  </si>
  <si>
    <t>Quantum Finance Services</t>
  </si>
  <si>
    <t>Health Monitor</t>
  </si>
  <si>
    <t>West Bengal</t>
  </si>
  <si>
    <t>Visionary Holdings</t>
  </si>
  <si>
    <t>Gujarat</t>
  </si>
  <si>
    <t>Tyre</t>
  </si>
  <si>
    <t>Supplements</t>
  </si>
  <si>
    <t>Brilliant Minds Academy</t>
  </si>
  <si>
    <t>Haryana</t>
  </si>
  <si>
    <t>Coffee</t>
  </si>
  <si>
    <t>Natural Bliss Beverages</t>
  </si>
  <si>
    <t>Zenith Construction Co.</t>
  </si>
  <si>
    <t>Women Dress</t>
  </si>
  <si>
    <t>Men Shirt</t>
  </si>
  <si>
    <t>Classic Cultures</t>
  </si>
  <si>
    <t>Skincare</t>
  </si>
  <si>
    <t>Chandigarh</t>
  </si>
  <si>
    <t>Biscuits</t>
  </si>
  <si>
    <t>Uttar Pradesh</t>
  </si>
  <si>
    <t>Elite Marketing Solutions</t>
  </si>
  <si>
    <t>Earbuds</t>
  </si>
  <si>
    <t>Pure Essence Skincare</t>
  </si>
  <si>
    <t>TruePath Logistics</t>
  </si>
  <si>
    <t>Vitamins</t>
  </si>
  <si>
    <t>Rajasthan</t>
  </si>
  <si>
    <t>Bharat Innovations</t>
  </si>
  <si>
    <t>Bike</t>
  </si>
  <si>
    <t>Shoes</t>
  </si>
  <si>
    <t>Urban Pulse Technologies</t>
  </si>
  <si>
    <t>Jacket</t>
  </si>
  <si>
    <t>Laptop</t>
  </si>
  <si>
    <t>Apex Solutions</t>
  </si>
  <si>
    <t>Stellar Design Studio</t>
  </si>
  <si>
    <t>Smartphone</t>
  </si>
  <si>
    <t>Snacks</t>
  </si>
  <si>
    <t>Eternal Traditions</t>
  </si>
  <si>
    <t>Dashboard Practice</t>
  </si>
  <si>
    <t>Use the Sales Data sheet to build:</t>
  </si>
  <si>
    <t>1</t>
  </si>
  <si>
    <t>Total Sales (SUM of Sale Price)</t>
  </si>
  <si>
    <t>2</t>
  </si>
  <si>
    <t>Total Profit (SUM of Profit)</t>
  </si>
  <si>
    <t>3</t>
  </si>
  <si>
    <t>Total Quantity</t>
  </si>
  <si>
    <t>4</t>
  </si>
  <si>
    <t>Sales by Category</t>
  </si>
  <si>
    <t>5</t>
  </si>
  <si>
    <t>Sales by State</t>
  </si>
  <si>
    <t>6</t>
  </si>
  <si>
    <t>Sales by Gender</t>
  </si>
  <si>
    <t>7</t>
  </si>
  <si>
    <t>Monthly Sales Trend</t>
  </si>
  <si>
    <t>8</t>
  </si>
  <si>
    <t>Top 5 Products by Sales</t>
  </si>
  <si>
    <t>9</t>
  </si>
  <si>
    <t>Top 5 Customers/Companies by Sales</t>
  </si>
  <si>
    <t>10</t>
  </si>
  <si>
    <t>Add slicers for Category, State and Gender</t>
  </si>
  <si>
    <t>Sum of Sale Price</t>
  </si>
  <si>
    <t>Sum of Purchase Cost</t>
  </si>
  <si>
    <t>Sum of Profit</t>
  </si>
  <si>
    <t>Row Labels</t>
  </si>
  <si>
    <t>Grand Total</t>
  </si>
  <si>
    <t>Apr</t>
  </si>
  <si>
    <t>May</t>
  </si>
  <si>
    <t>Jun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</si>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</sst>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mmmm\ yyyy"/>
    <numFmt numFmtId="165" formatCode="0.0%"/>
  </numFmts>
  <fonts count="7" x14ac:knownFonts="1">
    <font>
      <sz val="11"/>
      <color theme="1"/>
      <name val="Calibri"/>
      <family val="2"/>
      <scheme val="minor"/>
    </font>
    <font>
      <b/>
      <sz val="11"/>
      <name val="Calibri"/>
      <family val="2"/>
    </font>
    <font>
      <b/>
      <sz val="16"/>
      <name val="Calibri"/>
      <family val="2"/>
    </font>
    <font>
      <sz val="11"/>
      <color theme="1"/>
      <name val="Calibri"/>
      <family val="2"/>
      <scheme val="minor"/>
    </font>
    <font>
      <b/>
      <sz val="11"/>
      <color theme="1"/>
      <name val="Calibri"/>
      <family val="2"/>
      <scheme val="minor"/>
    </font>
    <font>
      <sz val="11"/>
      <color theme="1"/>
      <name val="Amasis MT Pro Black"/>
      <family val="1"/>
    </font>
    <font>
      <i/>
      <sz val="12"/>
      <color theme="0"/>
      <name val="Calibri"/>
      <family val="2"/>
      <scheme val="minor"/>
    </font>
  </fonts>
  <fills count="4">
    <fill>
      <patternFill patternType="none"/>
    </fill>
    <fill>
      <patternFill patternType="gray125"/>
    </fill>
    <fill>
      <patternFill patternType="solid">
        <fgColor rgb="FFD9EAF7"/>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3" fillId="0" borderId="0" applyFont="0" applyFill="0" applyBorder="0" applyAlignment="0" applyProtection="0"/>
  </cellStyleXfs>
  <cellXfs count="15">
    <xf numFmtId="0" fontId="0" fillId="0" borderId="0" xfId="0"/>
    <xf numFmtId="0" fontId="1" fillId="2" borderId="0" xfId="0" applyFont="1" applyFill="1" applyAlignment="1">
      <alignment horizontal="center"/>
    </xf>
    <xf numFmtId="164" fontId="0" fillId="0" borderId="0" xfId="0" applyNumberFormat="1"/>
    <xf numFmtId="3" fontId="0" fillId="0" borderId="0" xfId="0" applyNumberFormat="1"/>
    <xf numFmtId="0" fontId="2" fillId="0" borderId="0" xfId="0" applyFont="1"/>
    <xf numFmtId="0" fontId="0" fillId="0" borderId="0" xfId="0" pivotButton="1"/>
    <xf numFmtId="0" fontId="0" fillId="0" borderId="0" xfId="0" applyAlignment="1">
      <alignment horizontal="left"/>
    </xf>
    <xf numFmtId="10" fontId="0" fillId="0" borderId="0" xfId="0" applyNumberFormat="1"/>
    <xf numFmtId="0" fontId="4" fillId="3" borderId="1" xfId="0" applyFont="1" applyFill="1" applyBorder="1"/>
    <xf numFmtId="9" fontId="0" fillId="0" borderId="0" xfId="1" applyFont="1"/>
    <xf numFmtId="9" fontId="4" fillId="3" borderId="1" xfId="1" applyFont="1" applyFill="1" applyBorder="1"/>
    <xf numFmtId="0" fontId="5" fillId="0" borderId="0" xfId="0" applyFont="1"/>
    <xf numFmtId="0" fontId="6" fillId="0" borderId="0" xfId="0" applyFont="1" applyAlignment="1">
      <alignment vertical="center"/>
    </xf>
    <xf numFmtId="0" fontId="0" fillId="0" borderId="0" xfId="0" applyAlignment="1">
      <alignment horizontal="center"/>
    </xf>
    <xf numFmtId="165" fontId="0" fillId="0" borderId="0" xfId="0" applyNumberFormat="1"/>
  </cellXfs>
  <cellStyles count="2">
    <cellStyle name="Normal" xfId="0" builtinId="0"/>
    <cellStyle name="Percent" xfId="1" builtinId="5"/>
  </cellStyles>
  <dxfs count="14">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4" formatCode="0.00%"/>
    </dxf>
    <dxf>
      <numFmt numFmtId="14" formatCode="0.00%"/>
    </dxf>
    <dxf>
      <numFmt numFmtId="165" formatCode="0.0%"/>
    </dxf>
  </dxfs>
  <tableStyles count="0" defaultTableStyle="TableStyleMedium9" defaultPivotStyle="PivotStyleLight16"/>
  <colors>
    <mruColors>
      <color rgb="FF1839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(version 2).xlsb.xlsx]pivot!Total Sale</c:name>
    <c:fmtId val="6"/>
  </c:pivotSource>
  <c:chart>
    <c:autoTitleDeleted val="1"/>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79-496D-8612-859954A670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79-496D-8612-859954A670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79-496D-8612-859954A6707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B79-496D-8612-859954A6707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B79-496D-8612-859954A67078}"/>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pivot!$A$14:$A$19</c:f>
              <c:strCache>
                <c:ptCount val="5"/>
                <c:pt idx="0">
                  <c:v>Automobile</c:v>
                </c:pt>
                <c:pt idx="1">
                  <c:v>Electronics</c:v>
                </c:pt>
                <c:pt idx="2">
                  <c:v>Fashion</c:v>
                </c:pt>
                <c:pt idx="3">
                  <c:v>Food</c:v>
                </c:pt>
                <c:pt idx="4">
                  <c:v>Healthcare</c:v>
                </c:pt>
              </c:strCache>
            </c:strRef>
          </c:cat>
          <c:val>
            <c:numRef>
              <c:f>pivot!$B$14:$B$19</c:f>
              <c:numCache>
                <c:formatCode>#,##0</c:formatCode>
                <c:ptCount val="5"/>
                <c:pt idx="0">
                  <c:v>1566501</c:v>
                </c:pt>
                <c:pt idx="1">
                  <c:v>1822925</c:v>
                </c:pt>
                <c:pt idx="2">
                  <c:v>2252912</c:v>
                </c:pt>
                <c:pt idx="3">
                  <c:v>1430925</c:v>
                </c:pt>
                <c:pt idx="4">
                  <c:v>2353508</c:v>
                </c:pt>
              </c:numCache>
            </c:numRef>
          </c:val>
          <c:extLst>
            <c:ext xmlns:c16="http://schemas.microsoft.com/office/drawing/2014/chart" uri="{C3380CC4-5D6E-409C-BE32-E72D297353CC}">
              <c16:uniqueId val="{00000000-CDA4-4603-96D9-2798C03840CC}"/>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(version 2).xlsb.xlsx]pivot!Total Purchase</c:name>
    <c:fmtId val="7"/>
  </c:pivotSource>
  <c:chart>
    <c:autoTitleDeleted val="1"/>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pivot!$E$13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0D-493D-9CA1-B839BF1BD6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0D-493D-9CA1-B839BF1BD6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0D-493D-9CA1-B839BF1BD6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0D-493D-9CA1-B839BF1BD6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20D-493D-9CA1-B839BF1BD622}"/>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pivot!$D$14:$D$19</c:f>
              <c:strCache>
                <c:ptCount val="5"/>
                <c:pt idx="0">
                  <c:v>Automobile</c:v>
                </c:pt>
                <c:pt idx="1">
                  <c:v>Electronics</c:v>
                </c:pt>
                <c:pt idx="2">
                  <c:v>Fashion</c:v>
                </c:pt>
                <c:pt idx="3">
                  <c:v>Food</c:v>
                </c:pt>
                <c:pt idx="4">
                  <c:v>Healthcare</c:v>
                </c:pt>
              </c:strCache>
            </c:strRef>
          </c:cat>
          <c:val>
            <c:numRef>
              <c:f>pivot!$E$14:$E$19</c:f>
              <c:numCache>
                <c:formatCode>#,##0</c:formatCode>
                <c:ptCount val="5"/>
                <c:pt idx="0">
                  <c:v>926876</c:v>
                </c:pt>
                <c:pt idx="1">
                  <c:v>1039996</c:v>
                </c:pt>
                <c:pt idx="2">
                  <c:v>1324749</c:v>
                </c:pt>
                <c:pt idx="3">
                  <c:v>838593</c:v>
                </c:pt>
                <c:pt idx="4">
                  <c:v>1356702</c:v>
                </c:pt>
              </c:numCache>
            </c:numRef>
          </c:val>
          <c:extLst>
            <c:ext xmlns:c16="http://schemas.microsoft.com/office/drawing/2014/chart" uri="{C3380CC4-5D6E-409C-BE32-E72D297353CC}">
              <c16:uniqueId val="{00000000-5125-47D4-8BA9-8E4453FAA6A4}"/>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(version 2).xlsb.xlsx]pivot!Total Profit</c:name>
    <c:fmtId val="1"/>
  </c:pivotSource>
  <c:chart>
    <c:autoTitleDeleted val="1"/>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pivot!$I$13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0A-4E2C-9B97-6658409FA3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0A-4E2C-9B97-6658409FA3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0A-4E2C-9B97-6658409FA3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0A-4E2C-9B97-6658409FA3FC}"/>
              </c:ext>
            </c:extLst>
          </c:dPt>
          <c:dPt>
            <c:idx val="4"/>
            <c:bubble3D val="0"/>
            <c:spPr>
              <a:solidFill>
                <a:schemeClr val="accent5"/>
              </a:solidFill>
              <a:ln w="19050">
                <a:solidFill>
                  <a:schemeClr val="lt1"/>
                </a:solidFill>
              </a:ln>
              <a:effectLst/>
            </c:spPr>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pivot!$H$14:$H$19</c:f>
              <c:strCache>
                <c:ptCount val="5"/>
                <c:pt idx="0">
                  <c:v>Automobile</c:v>
                </c:pt>
                <c:pt idx="1">
                  <c:v>Electronics</c:v>
                </c:pt>
                <c:pt idx="2">
                  <c:v>Fashion</c:v>
                </c:pt>
                <c:pt idx="3">
                  <c:v>Food</c:v>
                </c:pt>
                <c:pt idx="4">
                  <c:v>Healthcare</c:v>
                </c:pt>
              </c:strCache>
            </c:strRef>
          </c:cat>
          <c:val>
            <c:numRef>
              <c:f>pivot!$I$14:$I$19</c:f>
              <c:numCache>
                <c:formatCode>#,##0</c:formatCode>
                <c:ptCount val="5"/>
                <c:pt idx="0">
                  <c:v>639625</c:v>
                </c:pt>
                <c:pt idx="1">
                  <c:v>782929</c:v>
                </c:pt>
                <c:pt idx="2">
                  <c:v>928163</c:v>
                </c:pt>
                <c:pt idx="3">
                  <c:v>592332</c:v>
                </c:pt>
                <c:pt idx="4">
                  <c:v>996806</c:v>
                </c:pt>
              </c:numCache>
            </c:numRef>
          </c:val>
          <c:extLst>
            <c:ext xmlns:c16="http://schemas.microsoft.com/office/drawing/2014/chart" uri="{C3380CC4-5D6E-409C-BE32-E72D297353CC}">
              <c16:uniqueId val="{00000000-3C75-4E3C-B5B7-5B4609EEAE80}"/>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(version 2).xlsb.xlsx]pivot!monthwies</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pivot!$L$13</c:f>
              <c:strCache>
                <c:ptCount val="1"/>
                <c:pt idx="0">
                  <c:v>Sum of Sale 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pivot!$K$14:$K$17</c:f>
              <c:strCache>
                <c:ptCount val="3"/>
                <c:pt idx="0">
                  <c:v>Apr</c:v>
                </c:pt>
                <c:pt idx="1">
                  <c:v>May</c:v>
                </c:pt>
                <c:pt idx="2">
                  <c:v>Jun</c:v>
                </c:pt>
              </c:strCache>
            </c:strRef>
          </c:cat>
          <c:val>
            <c:numRef>
              <c:f>pivot!$L$14:$L$17</c:f>
              <c:numCache>
                <c:formatCode>#,##0</c:formatCode>
                <c:ptCount val="3"/>
                <c:pt idx="0">
                  <c:v>3591905</c:v>
                </c:pt>
                <c:pt idx="1">
                  <c:v>3808669</c:v>
                </c:pt>
                <c:pt idx="2">
                  <c:v>2026197</c:v>
                </c:pt>
              </c:numCache>
            </c:numRef>
          </c:val>
          <c:extLst>
            <c:ext xmlns:c16="http://schemas.microsoft.com/office/drawing/2014/chart" uri="{C3380CC4-5D6E-409C-BE32-E72D297353CC}">
              <c16:uniqueId val="{00000003-43C8-4591-AF65-8DED9F3B2127}"/>
            </c:ext>
          </c:extLst>
        </c:ser>
        <c:ser>
          <c:idx val="1"/>
          <c:order val="1"/>
          <c:tx>
            <c:strRef>
              <c:f>pivot!$M$13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pivot!$K$14:$K$17</c:f>
              <c:strCache>
                <c:ptCount val="3"/>
                <c:pt idx="0">
                  <c:v>Apr</c:v>
                </c:pt>
                <c:pt idx="1">
                  <c:v>May</c:v>
                </c:pt>
                <c:pt idx="2">
                  <c:v>Jun</c:v>
                </c:pt>
              </c:strCache>
            </c:strRef>
          </c:cat>
          <c:val>
            <c:numRef>
              <c:f>pivot!$M$14:$M$17</c:f>
              <c:numCache>
                <c:formatCode>#,##0</c:formatCode>
                <c:ptCount val="3"/>
                <c:pt idx="0">
                  <c:v>1541981</c:v>
                </c:pt>
                <c:pt idx="1">
                  <c:v>1540436</c:v>
                </c:pt>
                <c:pt idx="2">
                  <c:v>857438</c:v>
                </c:pt>
              </c:numCache>
            </c:numRef>
          </c:val>
          <c:extLst>
            <c:ext xmlns:c16="http://schemas.microsoft.com/office/drawing/2014/chart" uri="{C3380CC4-5D6E-409C-BE32-E72D297353CC}">
              <c16:uniqueId val="{00000004-43C8-4591-AF65-8DED9F3B2127}"/>
            </c:ext>
          </c:extLst>
        </c:ser>
        <c:dLbls>
          <c:dLblPos val="outEnd"/>
          <c:showLegendKey val="0"/>
          <c:showVal val="1"/>
          <c:showCatName val="0"/>
          <c:showSerName val="0"/>
          <c:showPercent val="0"/>
          <c:showBubbleSize val="0"/>
        </c:dLbls>
        <c:gapWidth val="219"/>
        <c:overlap val="-27"/>
        <c:axId val="749703680"/>
        <c:axId val="749705840"/>
      </c:barChart>
      <c:catAx>
        <c:axId val="74970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705840"/>
        <c:crosses val="autoZero"/>
        <c:auto val="1"/>
        <c:lblAlgn val="ctr"/>
        <c:lblOffset val="100"/>
        <c:noMultiLvlLbl val="0"/>
      </c:catAx>
      <c:valAx>
        <c:axId val="749705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70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589341798541977"/>
          <c:y val="0.11862550120332672"/>
          <c:w val="0.4165194485142415"/>
          <c:h val="0.91637304576456158"/>
        </c:manualLayout>
      </c:layout>
      <c:doughnutChart>
        <c:varyColors val="1"/>
        <c:ser>
          <c:idx val="0"/>
          <c:order val="0"/>
          <c:tx>
            <c:strRef>
              <c:f>pivot!$S$42</c:f>
              <c:strCache>
                <c:ptCount val="1"/>
                <c:pt idx="0">
                  <c:v>Sum of Profit</c:v>
                </c:pt>
              </c:strCache>
            </c:strRef>
          </c:tx>
          <c:explosion val="26"/>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53-405A-88AC-80EC30CD60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53-405A-88AC-80EC30CD60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53-405A-88AC-80EC30CD60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53-405A-88AC-80EC30CD607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753-405A-88AC-80EC30CD607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753-405A-88AC-80EC30CD607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753-405A-88AC-80EC30CD607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753-405A-88AC-80EC30CD607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753-405A-88AC-80EC30CD607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753-405A-88AC-80EC30CD607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753-405A-88AC-80EC30CD607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753-405A-88AC-80EC30CD607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753-405A-88AC-80EC30CD607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753-405A-88AC-80EC30CD607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753-405A-88AC-80EC30CD607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7753-405A-88AC-80EC30CD607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7753-405A-88AC-80EC30CD6071}"/>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7753-405A-88AC-80EC30CD6071}"/>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7753-405A-88AC-80EC30CD6071}"/>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7753-405A-88AC-80EC30CD6071}"/>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7753-405A-88AC-80EC30CD6071}"/>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7753-405A-88AC-80EC30CD6071}"/>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7753-405A-88AC-80EC30CD6071}"/>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7753-405A-88AC-80EC30CD6071}"/>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7753-405A-88AC-80EC30CD6071}"/>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pivot!$Q$43:$Q$67</c:f>
              <c:strCache>
                <c:ptCount val="25"/>
                <c:pt idx="0">
                  <c:v>Accessories</c:v>
                </c:pt>
                <c:pt idx="1">
                  <c:v>Bike</c:v>
                </c:pt>
                <c:pt idx="2">
                  <c:v>Biscuits</c:v>
                </c:pt>
                <c:pt idx="3">
                  <c:v>Car</c:v>
                </c:pt>
                <c:pt idx="4">
                  <c:v>Coffee</c:v>
                </c:pt>
                <c:pt idx="5">
                  <c:v>Earbuds</c:v>
                </c:pt>
                <c:pt idx="6">
                  <c:v>First Aid Kit</c:v>
                </c:pt>
                <c:pt idx="7">
                  <c:v>Health Monitor</c:v>
                </c:pt>
                <c:pt idx="8">
                  <c:v>Helmet</c:v>
                </c:pt>
                <c:pt idx="9">
                  <c:v>Jacket</c:v>
                </c:pt>
                <c:pt idx="10">
                  <c:v>Jeans</c:v>
                </c:pt>
                <c:pt idx="11">
                  <c:v>Juice</c:v>
                </c:pt>
                <c:pt idx="12">
                  <c:v>Laptop</c:v>
                </c:pt>
                <c:pt idx="13">
                  <c:v>Men Shirt</c:v>
                </c:pt>
                <c:pt idx="14">
                  <c:v>Shoes</c:v>
                </c:pt>
                <c:pt idx="15">
                  <c:v>Skincare</c:v>
                </c:pt>
                <c:pt idx="16">
                  <c:v>Smartphone</c:v>
                </c:pt>
                <c:pt idx="17">
                  <c:v>Snacks</c:v>
                </c:pt>
                <c:pt idx="18">
                  <c:v>Speaker</c:v>
                </c:pt>
                <c:pt idx="19">
                  <c:v>Spices</c:v>
                </c:pt>
                <c:pt idx="20">
                  <c:v>Supplements</c:v>
                </c:pt>
                <c:pt idx="21">
                  <c:v>TV</c:v>
                </c:pt>
                <c:pt idx="22">
                  <c:v>Tyre</c:v>
                </c:pt>
                <c:pt idx="23">
                  <c:v>Vitamins</c:v>
                </c:pt>
                <c:pt idx="24">
                  <c:v>Women Dress</c:v>
                </c:pt>
              </c:strCache>
            </c:strRef>
          </c:cat>
          <c:val>
            <c:numRef>
              <c:f>pivot!$S$43:$S$67</c:f>
              <c:numCache>
                <c:formatCode>0%</c:formatCode>
                <c:ptCount val="25"/>
                <c:pt idx="0">
                  <c:v>4.8456098003606729E-2</c:v>
                </c:pt>
                <c:pt idx="1">
                  <c:v>1.7985179657626995E-2</c:v>
                </c:pt>
                <c:pt idx="2">
                  <c:v>3.2498404129085966E-2</c:v>
                </c:pt>
                <c:pt idx="3">
                  <c:v>3.5054335756011322E-2</c:v>
                </c:pt>
                <c:pt idx="4">
                  <c:v>2.1543432435965282E-2</c:v>
                </c:pt>
                <c:pt idx="6">
                  <c:v>3.463071610503432E-2</c:v>
                </c:pt>
                <c:pt idx="7">
                  <c:v>5.3413640857341196E-2</c:v>
                </c:pt>
                <c:pt idx="8">
                  <c:v>4.0120004416406188E-2</c:v>
                </c:pt>
                <c:pt idx="9">
                  <c:v>8.4185839326574204E-3</c:v>
                </c:pt>
                <c:pt idx="10">
                  <c:v>5.7997819716715464E-2</c:v>
                </c:pt>
                <c:pt idx="11">
                  <c:v>1.478912294995628E-2</c:v>
                </c:pt>
                <c:pt idx="12">
                  <c:v>3.7444779059127811E-2</c:v>
                </c:pt>
                <c:pt idx="13">
                  <c:v>4.3692978548702938E-2</c:v>
                </c:pt>
                <c:pt idx="14">
                  <c:v>3.8576546598796148E-2</c:v>
                </c:pt>
                <c:pt idx="15">
                  <c:v>8.2590856770109564E-2</c:v>
                </c:pt>
                <c:pt idx="16">
                  <c:v>4.0908358302526364E-2</c:v>
                </c:pt>
                <c:pt idx="17">
                  <c:v>1.4943443350072527E-2</c:v>
                </c:pt>
                <c:pt idx="18">
                  <c:v>3.4522590298373922E-2</c:v>
                </c:pt>
                <c:pt idx="19">
                  <c:v>6.6569201150803767E-2</c:v>
                </c:pt>
                <c:pt idx="20">
                  <c:v>3.912301341039201E-2</c:v>
                </c:pt>
                <c:pt idx="21">
                  <c:v>1.9190300150640063E-2</c:v>
                </c:pt>
                <c:pt idx="22">
                  <c:v>2.0731727436669622E-2</c:v>
                </c:pt>
                <c:pt idx="23">
                  <c:v>4.3247530683235808E-2</c:v>
                </c:pt>
                <c:pt idx="24">
                  <c:v>8.6897106619406042E-2</c:v>
                </c:pt>
              </c:numCache>
            </c:numRef>
          </c:val>
          <c:extLst>
            <c:ext xmlns:c16="http://schemas.microsoft.com/office/drawing/2014/chart" uri="{C3380CC4-5D6E-409C-BE32-E72D297353CC}">
              <c16:uniqueId val="{00000000-A916-45D6-9C00-D940F746EB02}"/>
            </c:ext>
          </c:extLst>
        </c:ser>
        <c:dLbls>
          <c:showLegendKey val="0"/>
          <c:showVal val="1"/>
          <c:showCatName val="0"/>
          <c:showSerName val="0"/>
          <c:showPercent val="0"/>
          <c:showBubbleSize val="0"/>
          <c:showLeaderLines val="0"/>
        </c:dLbls>
        <c:firstSliceAng val="358"/>
        <c:holeSize val="37"/>
      </c:doughnutChart>
      <c:spPr>
        <a:noFill/>
        <a:ln>
          <a:solidFill>
            <a:schemeClr val="accent1">
              <a:alpha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(version 2).xlsb.xlsx]pivot!Total Sale</c:name>
    <c:fmtId val="418"/>
  </c:pivotSource>
  <c:chart>
    <c:autoTitleDeleted val="1"/>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manualLayout>
          <c:layoutTarget val="inner"/>
          <c:xMode val="edge"/>
          <c:yMode val="edge"/>
          <c:x val="7.8028028983775323E-3"/>
          <c:y val="0.33000537104892991"/>
          <c:w val="0.93743528207314197"/>
          <c:h val="0.47192789645907707"/>
        </c:manualLayout>
      </c:layout>
      <c:pieChart>
        <c:varyColors val="1"/>
        <c:ser>
          <c:idx val="0"/>
          <c:order val="0"/>
          <c:tx>
            <c:strRef>
              <c:f>pivot!$B$13</c:f>
              <c:strCache>
                <c:ptCount val="1"/>
                <c:pt idx="0">
                  <c:v>Total</c:v>
                </c:pt>
              </c:strCache>
            </c:strRef>
          </c:tx>
          <c:explosion val="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4B-4A41-B8A2-AF2F8901B7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4B-4A41-B8A2-AF2F8901B7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4B-4A41-B8A2-AF2F8901B7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4B-4A41-B8A2-AF2F8901B71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34B-4A41-B8A2-AF2F8901B717}"/>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pivot!$A$14:$A$19</c:f>
              <c:strCache>
                <c:ptCount val="5"/>
                <c:pt idx="0">
                  <c:v>Automobile</c:v>
                </c:pt>
                <c:pt idx="1">
                  <c:v>Electronics</c:v>
                </c:pt>
                <c:pt idx="2">
                  <c:v>Fashion</c:v>
                </c:pt>
                <c:pt idx="3">
                  <c:v>Food</c:v>
                </c:pt>
                <c:pt idx="4">
                  <c:v>Healthcare</c:v>
                </c:pt>
              </c:strCache>
            </c:strRef>
          </c:cat>
          <c:val>
            <c:numRef>
              <c:f>pivot!$B$14:$B$19</c:f>
              <c:numCache>
                <c:formatCode>#,##0</c:formatCode>
                <c:ptCount val="5"/>
                <c:pt idx="0">
                  <c:v>1566501</c:v>
                </c:pt>
                <c:pt idx="1">
                  <c:v>1822925</c:v>
                </c:pt>
                <c:pt idx="2">
                  <c:v>2252912</c:v>
                </c:pt>
                <c:pt idx="3">
                  <c:v>1430925</c:v>
                </c:pt>
                <c:pt idx="4">
                  <c:v>2353508</c:v>
                </c:pt>
              </c:numCache>
            </c:numRef>
          </c:val>
          <c:extLst>
            <c:ext xmlns:c16="http://schemas.microsoft.com/office/drawing/2014/chart" uri="{C3380CC4-5D6E-409C-BE32-E72D297353CC}">
              <c16:uniqueId val="{0000000A-334B-4A41-B8A2-AF2F8901B717}"/>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(version 2).xlsb.xlsx]pivot!Total Purchase</c:name>
    <c:fmtId val="410"/>
  </c:pivotSource>
  <c:chart>
    <c:autoTitleDeleted val="1"/>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manualLayout>
          <c:layoutTarget val="inner"/>
          <c:xMode val="edge"/>
          <c:yMode val="edge"/>
          <c:x val="0"/>
          <c:y val="3.11180608633118E-3"/>
          <c:w val="0.68691988063160125"/>
          <c:h val="0.60787854139348763"/>
        </c:manualLayout>
      </c:layout>
      <c:pieChart>
        <c:varyColors val="1"/>
        <c:ser>
          <c:idx val="0"/>
          <c:order val="0"/>
          <c:tx>
            <c:strRef>
              <c:f>pivot!$E$13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70-4439-BA3E-ADB2DAF34E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70-4439-BA3E-ADB2DAF34E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70-4439-BA3E-ADB2DAF34E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570-4439-BA3E-ADB2DAF34EF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570-4439-BA3E-ADB2DAF34EF1}"/>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pivot!$D$14:$D$19</c:f>
              <c:strCache>
                <c:ptCount val="5"/>
                <c:pt idx="0">
                  <c:v>Automobile</c:v>
                </c:pt>
                <c:pt idx="1">
                  <c:v>Electronics</c:v>
                </c:pt>
                <c:pt idx="2">
                  <c:v>Fashion</c:v>
                </c:pt>
                <c:pt idx="3">
                  <c:v>Food</c:v>
                </c:pt>
                <c:pt idx="4">
                  <c:v>Healthcare</c:v>
                </c:pt>
              </c:strCache>
            </c:strRef>
          </c:cat>
          <c:val>
            <c:numRef>
              <c:f>pivot!$E$14:$E$19</c:f>
              <c:numCache>
                <c:formatCode>#,##0</c:formatCode>
                <c:ptCount val="5"/>
                <c:pt idx="0">
                  <c:v>926876</c:v>
                </c:pt>
                <c:pt idx="1">
                  <c:v>1039996</c:v>
                </c:pt>
                <c:pt idx="2">
                  <c:v>1324749</c:v>
                </c:pt>
                <c:pt idx="3">
                  <c:v>838593</c:v>
                </c:pt>
                <c:pt idx="4">
                  <c:v>1356702</c:v>
                </c:pt>
              </c:numCache>
            </c:numRef>
          </c:val>
          <c:extLst>
            <c:ext xmlns:c16="http://schemas.microsoft.com/office/drawing/2014/chart" uri="{C3380CC4-5D6E-409C-BE32-E72D297353CC}">
              <c16:uniqueId val="{0000000A-B570-4439-BA3E-ADB2DAF34EF1}"/>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(version 2).xlsb.xlsx]pivot!Total Profit</c:name>
    <c:fmtId val="230"/>
  </c:pivotSource>
  <c:chart>
    <c:autoTitleDeleted val="1"/>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7.5547421374169921E-2"/>
          <c:y val="0.17147084892233486"/>
          <c:w val="0.81532852552980684"/>
          <c:h val="0.65705883480913951"/>
        </c:manualLayout>
      </c:layout>
      <c:pieChart>
        <c:varyColors val="1"/>
        <c:ser>
          <c:idx val="0"/>
          <c:order val="0"/>
          <c:tx>
            <c:strRef>
              <c:f>pivot!$I$13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C2-4061-B9B6-D943BD3887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C2-4061-B9B6-D943BD3887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C2-4061-B9B6-D943BD3887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C2-4061-B9B6-D943BD388721}"/>
              </c:ext>
            </c:extLst>
          </c:dPt>
          <c:dPt>
            <c:idx val="4"/>
            <c:bubble3D val="0"/>
            <c:spPr>
              <a:solidFill>
                <a:schemeClr val="accent5"/>
              </a:solidFill>
              <a:ln w="19050">
                <a:solidFill>
                  <a:schemeClr val="lt1"/>
                </a:solidFill>
              </a:ln>
              <a:effectLst/>
            </c:spPr>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pivot!$H$14:$H$19</c:f>
              <c:strCache>
                <c:ptCount val="5"/>
                <c:pt idx="0">
                  <c:v>Automobile</c:v>
                </c:pt>
                <c:pt idx="1">
                  <c:v>Electronics</c:v>
                </c:pt>
                <c:pt idx="2">
                  <c:v>Fashion</c:v>
                </c:pt>
                <c:pt idx="3">
                  <c:v>Food</c:v>
                </c:pt>
                <c:pt idx="4">
                  <c:v>Healthcare</c:v>
                </c:pt>
              </c:strCache>
            </c:strRef>
          </c:cat>
          <c:val>
            <c:numRef>
              <c:f>pivot!$I$14:$I$19</c:f>
              <c:numCache>
                <c:formatCode>#,##0</c:formatCode>
                <c:ptCount val="5"/>
                <c:pt idx="0">
                  <c:v>639625</c:v>
                </c:pt>
                <c:pt idx="1">
                  <c:v>782929</c:v>
                </c:pt>
                <c:pt idx="2">
                  <c:v>928163</c:v>
                </c:pt>
                <c:pt idx="3">
                  <c:v>592332</c:v>
                </c:pt>
                <c:pt idx="4">
                  <c:v>996806</c:v>
                </c:pt>
              </c:numCache>
            </c:numRef>
          </c:val>
          <c:extLst>
            <c:ext xmlns:c16="http://schemas.microsoft.com/office/drawing/2014/chart" uri="{C3380CC4-5D6E-409C-BE32-E72D297353CC}">
              <c16:uniqueId val="{00000008-85C2-4061-B9B6-D943BD388721}"/>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(version 2).xlsb.xlsx]pivot!monthwies</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pivot!$L$13</c:f>
              <c:strCache>
                <c:ptCount val="1"/>
                <c:pt idx="0">
                  <c:v>Sum of Sale 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pivot!$K$14:$K$17</c:f>
              <c:strCache>
                <c:ptCount val="3"/>
                <c:pt idx="0">
                  <c:v>Apr</c:v>
                </c:pt>
                <c:pt idx="1">
                  <c:v>May</c:v>
                </c:pt>
                <c:pt idx="2">
                  <c:v>Jun</c:v>
                </c:pt>
              </c:strCache>
            </c:strRef>
          </c:cat>
          <c:val>
            <c:numRef>
              <c:f>pivot!$L$14:$L$17</c:f>
              <c:numCache>
                <c:formatCode>#,##0</c:formatCode>
                <c:ptCount val="3"/>
                <c:pt idx="0">
                  <c:v>3591905</c:v>
                </c:pt>
                <c:pt idx="1">
                  <c:v>3808669</c:v>
                </c:pt>
                <c:pt idx="2">
                  <c:v>2026197</c:v>
                </c:pt>
              </c:numCache>
            </c:numRef>
          </c:val>
          <c:extLst>
            <c:ext xmlns:c16="http://schemas.microsoft.com/office/drawing/2014/chart" uri="{C3380CC4-5D6E-409C-BE32-E72D297353CC}">
              <c16:uniqueId val="{00000000-94B9-4291-A78B-DFB5FD4A0E0A}"/>
            </c:ext>
          </c:extLst>
        </c:ser>
        <c:ser>
          <c:idx val="1"/>
          <c:order val="1"/>
          <c:tx>
            <c:strRef>
              <c:f>pivot!$M$13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pivot!$K$14:$K$17</c:f>
              <c:strCache>
                <c:ptCount val="3"/>
                <c:pt idx="0">
                  <c:v>Apr</c:v>
                </c:pt>
                <c:pt idx="1">
                  <c:v>May</c:v>
                </c:pt>
                <c:pt idx="2">
                  <c:v>Jun</c:v>
                </c:pt>
              </c:strCache>
            </c:strRef>
          </c:cat>
          <c:val>
            <c:numRef>
              <c:f>pivot!$M$14:$M$17</c:f>
              <c:numCache>
                <c:formatCode>#,##0</c:formatCode>
                <c:ptCount val="3"/>
                <c:pt idx="0">
                  <c:v>1541981</c:v>
                </c:pt>
                <c:pt idx="1">
                  <c:v>1540436</c:v>
                </c:pt>
                <c:pt idx="2">
                  <c:v>857438</c:v>
                </c:pt>
              </c:numCache>
            </c:numRef>
          </c:val>
          <c:extLst>
            <c:ext xmlns:c16="http://schemas.microsoft.com/office/drawing/2014/chart" uri="{C3380CC4-5D6E-409C-BE32-E72D297353CC}">
              <c16:uniqueId val="{00000001-94B9-4291-A78B-DFB5FD4A0E0A}"/>
            </c:ext>
          </c:extLst>
        </c:ser>
        <c:dLbls>
          <c:dLblPos val="outEnd"/>
          <c:showLegendKey val="0"/>
          <c:showVal val="1"/>
          <c:showCatName val="0"/>
          <c:showSerName val="0"/>
          <c:showPercent val="0"/>
          <c:showBubbleSize val="0"/>
        </c:dLbls>
        <c:gapWidth val="219"/>
        <c:overlap val="-27"/>
        <c:axId val="749703680"/>
        <c:axId val="749705840"/>
      </c:barChart>
      <c:catAx>
        <c:axId val="74970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49705840"/>
        <c:crosses val="autoZero"/>
        <c:auto val="1"/>
        <c:lblAlgn val="ctr"/>
        <c:lblOffset val="100"/>
        <c:noMultiLvlLbl val="0"/>
      </c:catAx>
      <c:valAx>
        <c:axId val="749705840"/>
        <c:scaling>
          <c:orientation val="minMax"/>
        </c:scaling>
        <c:delete val="0"/>
        <c:axPos val="l"/>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4970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810344827586203E-3"/>
          <c:y val="2.805692897661766E-2"/>
          <c:w val="0.4165194485142415"/>
          <c:h val="0.91637304576456158"/>
        </c:manualLayout>
      </c:layout>
      <c:doughnutChart>
        <c:varyColors val="1"/>
        <c:ser>
          <c:idx val="0"/>
          <c:order val="0"/>
          <c:tx>
            <c:strRef>
              <c:f>pivot!$S$42</c:f>
              <c:strCache>
                <c:ptCount val="1"/>
                <c:pt idx="0">
                  <c:v>Sum of Profit</c:v>
                </c:pt>
              </c:strCache>
            </c:strRef>
          </c:tx>
          <c:explosion val="26"/>
          <c:dPt>
            <c:idx val="0"/>
            <c:bubble3D val="0"/>
            <c:spPr>
              <a:solidFill>
                <a:schemeClr val="accent6"/>
              </a:solidFill>
              <a:ln w="19050">
                <a:solidFill>
                  <a:schemeClr val="lt1"/>
                </a:solidFill>
              </a:ln>
              <a:effectLst/>
            </c:spPr>
            <c:extLst>
              <c:ext xmlns:c16="http://schemas.microsoft.com/office/drawing/2014/chart" uri="{C3380CC4-5D6E-409C-BE32-E72D297353CC}">
                <c16:uniqueId val="{00000001-2B4F-4B68-9A70-F09537B0AFD1}"/>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2B4F-4B68-9A70-F09537B0AFD1}"/>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2B4F-4B68-9A70-F09537B0AFD1}"/>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2B4F-4B68-9A70-F09537B0AFD1}"/>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2B4F-4B68-9A70-F09537B0AFD1}"/>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2B4F-4B68-9A70-F09537B0AFD1}"/>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2B4F-4B68-9A70-F09537B0AFD1}"/>
              </c:ext>
            </c:extLst>
          </c:dPt>
          <c:dPt>
            <c:idx val="7"/>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F-2B4F-4B68-9A70-F09537B0AFD1}"/>
              </c:ext>
            </c:extLst>
          </c:dPt>
          <c:dPt>
            <c:idx val="8"/>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1-2B4F-4B68-9A70-F09537B0AFD1}"/>
              </c:ext>
            </c:extLst>
          </c:dPt>
          <c:dPt>
            <c:idx val="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3-2B4F-4B68-9A70-F09537B0AFD1}"/>
              </c:ext>
            </c:extLst>
          </c:dPt>
          <c:dPt>
            <c:idx val="1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15-2B4F-4B68-9A70-F09537B0AFD1}"/>
              </c:ext>
            </c:extLst>
          </c:dPt>
          <c:dPt>
            <c:idx val="1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17-2B4F-4B68-9A70-F09537B0AFD1}"/>
              </c:ext>
            </c:extLst>
          </c:dPt>
          <c:dPt>
            <c:idx val="1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9-2B4F-4B68-9A70-F09537B0AFD1}"/>
              </c:ext>
            </c:extLst>
          </c:dPt>
          <c:dPt>
            <c:idx val="13"/>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1B-2B4F-4B68-9A70-F09537B0AFD1}"/>
              </c:ext>
            </c:extLst>
          </c:dPt>
          <c:dPt>
            <c:idx val="14"/>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D-2B4F-4B68-9A70-F09537B0AFD1}"/>
              </c:ext>
            </c:extLst>
          </c:dPt>
          <c:dPt>
            <c:idx val="1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1F-2B4F-4B68-9A70-F09537B0AFD1}"/>
              </c:ext>
            </c:extLst>
          </c:dPt>
          <c:dPt>
            <c:idx val="1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21-2B4F-4B68-9A70-F09537B0AFD1}"/>
              </c:ext>
            </c:extLst>
          </c:dPt>
          <c:dPt>
            <c:idx val="1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23-2B4F-4B68-9A70-F09537B0AFD1}"/>
              </c:ext>
            </c:extLst>
          </c:dPt>
          <c:dPt>
            <c:idx val="18"/>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25-2B4F-4B68-9A70-F09537B0AFD1}"/>
              </c:ext>
            </c:extLst>
          </c:dPt>
          <c:dPt>
            <c:idx val="19"/>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27-2B4F-4B68-9A70-F09537B0AFD1}"/>
              </c:ext>
            </c:extLst>
          </c:dPt>
          <c:dPt>
            <c:idx val="20"/>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29-2B4F-4B68-9A70-F09537B0AFD1}"/>
              </c:ext>
            </c:extLst>
          </c:dPt>
          <c:dPt>
            <c:idx val="2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2B-2B4F-4B68-9A70-F09537B0AFD1}"/>
              </c:ext>
            </c:extLst>
          </c:dPt>
          <c:dPt>
            <c:idx val="2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2D-2B4F-4B68-9A70-F09537B0AFD1}"/>
              </c:ext>
            </c:extLst>
          </c:dPt>
          <c:dPt>
            <c:idx val="2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2F-2B4F-4B68-9A70-F09537B0AFD1}"/>
              </c:ext>
            </c:extLst>
          </c:dPt>
          <c:dPt>
            <c:idx val="24"/>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31-2B4F-4B68-9A70-F09537B0AFD1}"/>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pivot!$Q$43:$Q$67</c:f>
              <c:strCache>
                <c:ptCount val="25"/>
                <c:pt idx="0">
                  <c:v>Accessories</c:v>
                </c:pt>
                <c:pt idx="1">
                  <c:v>Bike</c:v>
                </c:pt>
                <c:pt idx="2">
                  <c:v>Biscuits</c:v>
                </c:pt>
                <c:pt idx="3">
                  <c:v>Car</c:v>
                </c:pt>
                <c:pt idx="4">
                  <c:v>Coffee</c:v>
                </c:pt>
                <c:pt idx="5">
                  <c:v>Earbuds</c:v>
                </c:pt>
                <c:pt idx="6">
                  <c:v>First Aid Kit</c:v>
                </c:pt>
                <c:pt idx="7">
                  <c:v>Health Monitor</c:v>
                </c:pt>
                <c:pt idx="8">
                  <c:v>Helmet</c:v>
                </c:pt>
                <c:pt idx="9">
                  <c:v>Jacket</c:v>
                </c:pt>
                <c:pt idx="10">
                  <c:v>Jeans</c:v>
                </c:pt>
                <c:pt idx="11">
                  <c:v>Juice</c:v>
                </c:pt>
                <c:pt idx="12">
                  <c:v>Laptop</c:v>
                </c:pt>
                <c:pt idx="13">
                  <c:v>Men Shirt</c:v>
                </c:pt>
                <c:pt idx="14">
                  <c:v>Shoes</c:v>
                </c:pt>
                <c:pt idx="15">
                  <c:v>Skincare</c:v>
                </c:pt>
                <c:pt idx="16">
                  <c:v>Smartphone</c:v>
                </c:pt>
                <c:pt idx="17">
                  <c:v>Snacks</c:v>
                </c:pt>
                <c:pt idx="18">
                  <c:v>Speaker</c:v>
                </c:pt>
                <c:pt idx="19">
                  <c:v>Spices</c:v>
                </c:pt>
                <c:pt idx="20">
                  <c:v>Supplements</c:v>
                </c:pt>
                <c:pt idx="21">
                  <c:v>TV</c:v>
                </c:pt>
                <c:pt idx="22">
                  <c:v>Tyre</c:v>
                </c:pt>
                <c:pt idx="23">
                  <c:v>Vitamins</c:v>
                </c:pt>
                <c:pt idx="24">
                  <c:v>Women Dress</c:v>
                </c:pt>
              </c:strCache>
            </c:strRef>
          </c:cat>
          <c:val>
            <c:numRef>
              <c:f>pivot!$S$43:$S$67</c:f>
              <c:numCache>
                <c:formatCode>0%</c:formatCode>
                <c:ptCount val="25"/>
                <c:pt idx="0">
                  <c:v>4.8456098003606729E-2</c:v>
                </c:pt>
                <c:pt idx="1">
                  <c:v>1.7985179657626995E-2</c:v>
                </c:pt>
                <c:pt idx="2">
                  <c:v>3.2498404129085966E-2</c:v>
                </c:pt>
                <c:pt idx="3">
                  <c:v>3.5054335756011322E-2</c:v>
                </c:pt>
                <c:pt idx="4">
                  <c:v>2.1543432435965282E-2</c:v>
                </c:pt>
                <c:pt idx="6">
                  <c:v>3.463071610503432E-2</c:v>
                </c:pt>
                <c:pt idx="7">
                  <c:v>5.3413640857341196E-2</c:v>
                </c:pt>
                <c:pt idx="8">
                  <c:v>4.0120004416406188E-2</c:v>
                </c:pt>
                <c:pt idx="9">
                  <c:v>8.4185839326574204E-3</c:v>
                </c:pt>
                <c:pt idx="10">
                  <c:v>5.7997819716715464E-2</c:v>
                </c:pt>
                <c:pt idx="11">
                  <c:v>1.478912294995628E-2</c:v>
                </c:pt>
                <c:pt idx="12">
                  <c:v>3.7444779059127811E-2</c:v>
                </c:pt>
                <c:pt idx="13">
                  <c:v>4.3692978548702938E-2</c:v>
                </c:pt>
                <c:pt idx="14">
                  <c:v>3.8576546598796148E-2</c:v>
                </c:pt>
                <c:pt idx="15">
                  <c:v>8.2590856770109564E-2</c:v>
                </c:pt>
                <c:pt idx="16">
                  <c:v>4.0908358302526364E-2</c:v>
                </c:pt>
                <c:pt idx="17">
                  <c:v>1.4943443350072527E-2</c:v>
                </c:pt>
                <c:pt idx="18">
                  <c:v>3.4522590298373922E-2</c:v>
                </c:pt>
                <c:pt idx="19">
                  <c:v>6.6569201150803767E-2</c:v>
                </c:pt>
                <c:pt idx="20">
                  <c:v>3.912301341039201E-2</c:v>
                </c:pt>
                <c:pt idx="21">
                  <c:v>1.9190300150640063E-2</c:v>
                </c:pt>
                <c:pt idx="22">
                  <c:v>2.0731727436669622E-2</c:v>
                </c:pt>
                <c:pt idx="23">
                  <c:v>4.3247530683235808E-2</c:v>
                </c:pt>
                <c:pt idx="24">
                  <c:v>8.6897106619406042E-2</c:v>
                </c:pt>
              </c:numCache>
            </c:numRef>
          </c:val>
          <c:extLst>
            <c:ext xmlns:c16="http://schemas.microsoft.com/office/drawing/2014/chart" uri="{C3380CC4-5D6E-409C-BE32-E72D297353CC}">
              <c16:uniqueId val="{00000032-2B4F-4B68-9A70-F09537B0AFD1}"/>
            </c:ext>
          </c:extLst>
        </c:ser>
        <c:dLbls>
          <c:showLegendKey val="0"/>
          <c:showVal val="1"/>
          <c:showCatName val="0"/>
          <c:showSerName val="0"/>
          <c:showPercent val="0"/>
          <c:showBubbleSize val="0"/>
          <c:showLeaderLines val="0"/>
        </c:dLbls>
        <c:firstSliceAng val="358"/>
        <c:holeSize val="37"/>
      </c:doughnutChart>
      <c:spPr>
        <a:noFill/>
        <a:ln>
          <a:solidFill>
            <a:schemeClr val="bg1">
              <a:alpha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plotArea>
      <cx:plotAreaRegion>
        <cx:series layoutId="treemap" uniqueId="{00000000-84A7-43A3-BB24-9E8A5DAF3D9B}">
          <cx:tx>
            <cx:txData>
              <cx:f>_xlchart.v1.5</cx:f>
              <cx:v>Sum of Sale Price</cx:v>
            </cx:txData>
          </cx:tx>
          <cx:dataLabels>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00000000-D5BF-4890-958A-BCF655AFBD79}">
          <cx:tx>
            <cx:txData>
              <cx:f>_xlchart.v5.2</cx:f>
              <cx:v>Sum of Sale Price</cx:v>
            </cx:txData>
          </cx:tx>
          <cx:dataId val="0"/>
          <cx:layoutPr>
            <cx:geography cultureLanguage="en-US" cultureRegion="IN" attribution="Powered by Bing">
              <cx:geoCache provider="{E9337A44-BEBE-4D9F-B70C-5C5E7DAFC167}">
                <cx:binary>1HvZctw4tu2vOPx8qcJATB1dJ+JwyEGZmmVZVS+MtCwTBEiA8/T1d7ts97HVrm7f6DoR1/KD7SRB
gFh7r732QurvT/PfnsrnU/tqrkrX/e1p/vW17vv6b7/80j3p5+rUnVXFU+s7/6E/e/LVL/7Dh+Lp
+Zf37WkqXP4LQTj85Umf2v55fv1ff4en5c/+6J9OfeHdzfDcLrfP3VD23b+49t1Lr07vq8IlRde3
xVOPf3393+69bk+vrtvT++dOv3717PqiX+6X+vnX19/c+/rVLy+f+E+zvyphgf3wHsZidiYYY1gq
pD79vH5Vepd/vizUmeIsxEyFn67SL1NfnioY/uPL+mNRp/fv2+eug7f74+9/Hv/Nq8Dl69evnvzg
+o8bmcOe/vp6794Xp9evis7Hny7E/uN77C//ePFfvoXgv/7+4gPYiheffIXSy337d5f+CaSogFD4
skH/OTaEnXGhJMOMoj9+8DfYSLiMFOehIl/m/ATKv13G97H4POwFBNHtTwXB4dS6U3+yECJ/WYqE
ZwKjkIQh+R4Mgp9hgAlAot9NkR9a0fcR+WroC1QO//1ToRLrE6Rtfmr/Quai6EwQRVko+Z/AIiRi
WDDxCZbwS0R8SpIfW9L3cfl67Atg4t1PBUzyXOriy8b8BYwlz3gIeYD49zERZxizUAClfcKEf5n6
Eyb/djXfh+PzsBdIJMefCondqV1O7i+kLaLOsJJYheybqgF0RUNEQhTKT2nzAoMfWMf3UfjHwBc4
7H6uArIdzKk99V8C8y/ICXLGFeFY/En5wGdMCcQhMb6bEz+wnu/j8Y+BL/DYnv9UeXFxeq+X/wXh
S+gZoxLKA/ucB9+KKyHPiJSKU/qZql4I3x9f1vfReTn+BUgXP5fwvTiB8D11um//QgLD6ixkBEnK
1J8UeIykouRzZ6KA5z5Jvk/F5AfX9GfwfPVCL7H5uUr89eDM6d2XvfnP+Qx0lwyJVMBn3xYWdgZ9
Yiio+qyD5Zc5P+Hx79fxfSi+jHuBwnX0U9HY7cmcuh5k8JdN+c+BIPyMyZBxjj/3JS/woICTAimm
PjPYi/z4oRV9H5Kvhr5A5fbnKi73p6ooX12e3g9/HSwYnyHMMUISEuBrK0WehUgggpj4MtmnxPix
RXwfia/HvoDiHhyRn8g7uX8uTy7/SxUwFmdQ2zlT+AUS6gwhBcnBPpeOF0z1Q0v5Ezz+5y1ewrH9
qeB40/fgiv7ldiNwliKUgdr9VNLRt6pLojPgM8qI/L6X8sOr+j46L4a/QOjNz6W53j53/avoGXKm
/MInf0FNgaLBWEgl+b7lKM6UwJA3lH3C74Wp8oNr+j463wx+gc3b/7+r/fd59msD8ps7/h89ekLO
PqYEx5+TQv0TnVHoUyQKP2P2or58dsz/fDXfh+PzsG8W/r9sv/+5Nf+PI4wEzN30j7OPr9z5f331
j9eDc5kXQ/+VP/xpr/bvP56PcPUVXB+f8U2X8f0DkP8Z+Qyq79fXEixkqEOCKUZwKCG/Xr+aIH9/
fQ12jOCIUY4VlSHcBHaM822vYWowcDiXAmEssBQg3zo//HEBHAXyMRbgcRxcBfWPo6drXy65d//Y
j8//f+WG6toXru/gqej1q/rTbR9XKcKPU+A/RKLkTDIO89RPp1s43vp49//hXRmMeDD9ph3yqbvT
g5T3qwhcnTCv+FUotOySAPtm49DsNyHqTVr2OUu+2rbvrIMQAS31NyuBZQiplKCMhhx6848r/Wol
iI28CBZFUo+77sHKZUgyrrL9mFfkfrCFOs6cRyt3UZX5Oa79sJOlClJsZraDj4pNgK3fequr35mu
UeR0sTRRyYsiqfKMXaN+yfYr6UiyKDVcalPoKjINs2nYBORGd20QFQ1xe6mrNg6aYO3jOS+zNGjt
lFAmltTlysUaDdMjJqEgm54zlxq5qAMfLFsiRUYbG7h/iaZhxvs24/PJB47Egwkvq4IGO8kNK6O1
6+kJMVReMFpmbdQ35bBGM2oOM+/jgi/zO0r79T22LbtXEARbv9DxvLdTd12U1pvIaFv4KJ/8u17I
bj/wsb3SYY/Pkcck4VoOG67C/jrnNEtCR5YUGXpe+no3F4GJqoHnb5ZQlU1kwqWLQ4P5Ix4yFXuO
yBs9qWAz1JbujaNZtI6UHBudBxu4BW1nkfHET7rddSFSxzyg034E2zdpl3LjlnxJmrAZDksfFJdD
EeZpPTV1KoaG2HhoHN0sYmJp1odLmjPe37MG1YkqPE1E3ui70k3sUawyS9ula1PaIrSrO7rCqzXX
q12WqOLBdJFX1twP0xy8naZm3BjWZjs4xkFR60mRNr42MV3b8X1TGZnyyrqbsJK0iDIeDBdTXbXn
RU7DBHOy6ebpItTNTrrgIBvNN/kc8M2IxJWgRi8RsjmOV1RsSeVIFLCWpcI6tbV06aOu43US6qXc
cR0kLltt3Jkq7Xh3XQ4Fj0qdNZEYOpdMVVvs6BjqpO7b5rK2tn8sTN5vXdf7eM3zPl5cELwTazOn
cnTLZcXUmKgJ4qmAsNqEQ2fTmnbVx3/x93nbq+001/nblQTERQEel4s8nBzM6fENmim+HqpxvkJ1
sMZNPc7JtNZFVCl3VZRlG+lqWLd13vc3Zcn4tizD9SbsM5M2a1DEFeU+HvlaXNulcFcUkzylpGCp
Gwzf64aEMdNNnrQOkXgUfb3zU10/lI5SQFM0kSutTp2qPtBJ5ymeVHWfhWKKxNKKBJ7h40E3fDfO
aj3Oeg73nvVy61xOUuoW5SNfiTyuAqXSNkcynuesTtqcFru2D2Rq8wXNW8E86iIrW7YZKBsFUASH
XOssT4J6FjRy1VLtzFDS80WLLBrozK+KLqC34zzFyHWXc72uWzV6diF9uGxN6cYkHDm+yKW+UkAy
KZHhFRqquNTTHOfIDYcR0+Jp8a3+UOXzEKuydzFWa3Zc8ISuVkGbxxxYf0eHkp+341hfuCns96sb
2SYQgl91sOy4GVh2m7uQnkgti3Nuerbrp2F4asOyuQVmlvtS+PZ30gwmxsJkscp5peO6GAYXsTDn
dg8mQTxD8DdRJoZh2bK1qaZE56Zaoq5uhk2m7bRhnZL1pRvR5JKhzc3FMNV5otvAbEw+0lh72bko
y3IdY9eKPiENomUsh5H2EaYTT8Yie6BhkF2FVeHXmDDlSVTrEnBWBenZbxWWw01APC8jgrr2oWvq
NbY4y69431bnUPzGi4zqZQOctmy7ZXDn01Lp32rsxjGWeQt5rcegj2aq7GatJ5fHBKuZHnVt2bkI
wyxMaa2eF8ttvq+da9Jp6N25LDv2GBaq363GV2E09nSKnBR860Ixr5GSqv5QeLvUaba2/QfRyS7K
xrV/rLAadjX3V04Hb5t56nYuQDhSmLNIuqJao7rEqooWrnrI/zX8rRSWq4jr3D+GVVvulVlgAjSJ
fTYVMl6qyu01yaYyCUg2d3HfZOU11tOIt1U2hfOem2VUx7rKsH3mAeuGW2yq8C6vPZ03fR3Upw5S
4ZRlxD34UgcXTc6djjIPBTrFLcxWqXV6U5uwDaBIZeFDPo6PtlLBYZFszg4oXNqY82nlMesLFKOC
TjTmH+M/r1t662ZZycQ418VzsfAPeCHsFkphJ/eTMKW56bvO73uBi7uhbUAS4GHmCcUNYZdjpZoP
edVRlOpC8LeumenTMsll39c12y7FyA98GeWzqgQOo4wgswskZsfMhLOOgmZq7ohm/MLNsKvWlmI7
4iaMwi5o+K3NePNbFfLmNgS2vluqptkZF4ybvMsJ29RWSx6pUM4XdM3oLmRFnooOtMsUZiLqx0k8
dBqV8qrDmTDno70N1CgPhpguCkObp8j6rI6NQg1661Vb/DYxM5CorYu1i6oy72la+IH9zpFu3JVZ
G+PTvnCribpSorTEQdtFK1H4BjvqgW6D/EZPbHos2xq/ocFE73yPq3OFO7YhdPZXWRnkbxxXeg+q
xtYRH+ERoLUmk1DXjkk5F9O28aQ/wAmSjJWSwQ1biN/iZuhiN63+WRQz2cgxCJaY5Nn4pp2xM4k1
jRsj7ux8udiK9Om6LoRGqx4rFueVn3cGT0My5fk+6/z8TotgSny76Lc5qboLQfMqDrTGsatCGo+w
wfE6Qv2sTBMHapZ7Xc3r1dCXPGkb1dUxRVUAWkxu59mUGkjVVl0X28z386HOXBBWUTkNZCe6eZ3O
O2/0OcgZnywEG30PsoHfh92g51jWUN+3ygh8bZtyjaaFQyisnnexaWl7C6M2zCzFth3maYkr5hJe
InGY8m5JtV/yKnFd2z3WGV+jzLBljw3pN5ltcyhHVG1cw4LIY1FuM7/mV+O6sE0fQoyGupVHHjQ6
KvK2iIowqsNnjfZz6x45Gk4ZE5Gh9pyIx3acKInLMRuicA66d6Av/abHrJ4TNy/j20AvzXXZFial
NittUoZcXvoAiuV2QQM3SWfVVgbWJLlV5dZkLNyZPOdbhgqZYMfH5tIXQLaSDTjCQ1Wnc4bwct3N
iPhz71d2wVU1XmumgzYaaWkOhVX2fhwyHZESoS0bu3JvOmauR61pl5raL88jqUoR534yb2WvssQF
zBSJMp2gsUGU1/GEqa9SX0kyp7PrkMkiNrZQakcm9F52cxGbop66OMuqfMfmKdyvvq03vGnd0YkB
XZpJNAT0rX2YvabkfMzHIDETFtlOZVlT7ow07iiJHOoIr2wHrzzFfMTBbqQjfjd0Ob0OJ9KBru4W
dAdsoxkE7jDUiZ6LLGn7LK3GbDy3uTq2Vm6osGUKoqfe5pnLjxNjXUSGMjitU9Z325H3wbk05tTQ
QF01VOggWlZSPg9O5FcWWBGqf1/lUTuH0D0MS7YkNkTuQpQFqLdgRA81KtQ1FLjm4NEUHpQK+g18
J2jYhDOBmJh99oGVvEwtpuJqZgUBAS2GIvaTwMCidfAQ8BU4ZJmzbI5V7dDW1lWXipI1t+vEwyya
e0Iv2wypuFDrfGKmzG4WYPEtyQMUVT0DWYZdGQ9l99yGdRXzHDWJYLiGyplnIDpXnDA8XWYtiIJi
ogcKCKVmsSIdOfJvaiLClEOhicq6MWlVZOJi0aV+wEN72RDebzrru23pSTfDW6/9sWW5PXDbCiAS
Ug47Dz1GonJN9ihky004szIOS3coffmGk+o5yORVP0ofWaxt3MwWbQrtpn1QSKhMpou9EF3Ecb9e
lU1TPY1LO1x5UF9RDyrgqFerd1zm07nA7+xko77vw42lNkb5vOxoEGropdYpWfRSbTAUpDwa80Wb
uMjzHS+GJc7IFHm9nwt2rhd+bF1+sGvBL3KR44OTRRtZQycbrzWrkxKPAUjG6r2cmhxH3Tjd15BM
m9DlPuZyqWPU2CLRcrQ3+QKKNmvz8CD7IbwJcSXPR1SPaY+NSkQgi20G2X4YFjG7iPoWgwR16GMY
slgsEBrB3JaJZ/MuKznf2rY4l7bfIj0lWOotEiPE9BJPjpUJqI7iPKuwiVti5kNLGEoWDrUpWr0f
9lhUeGMCQ6M8ZG0bV7YNk3Wdd2HR7BoEGmINRxkzwrso56bcZ2sF/DeOAHVW+yDW1RKkvtPBQeeN
ekSsDrddtuC3rQTJrpq8PK/ndUhwgPOLMmBhyiY17tbRkN8llfQtF2t9CwrY7PusGB+sy/yeujq4
xePAbu3aWOBKJnUUulYf297oC101a4pAtD1hjKGFxjU1Udj791Q3LArC/jg35tBVGUsWlL1DM9Q+
usRrYFk8FMF9Y4bgQJaRR/Wkul2wlGI/k0FdTHxSdzIzfeLyxsQeg4AdhaNpR7FMmKiPSDsc48In
HGWRpiF0kai6NeNsQSe49oS5C5MqoFkcQou/7yjZzXYNzhEtqtThqb/sVd+dC2Vvmdcxk45HJGwv
PXnboPlisChdqdyQnv9m9XTlJoR3Vs93UplNHlS3S9XuMos/liWeRxn2YwzS8G2bq8eqUgkZi1ML
xkZctrZJcun0rZmHaqd6DsQ+UXcM7UQgjlu/V9IeJNPVeT6H64G3OkgFk+WusnIbLtbH1uhylyFX
7Ke+zLd0HO4QdUUkFzfGpIQGbx2DxkJweL5HDJqrVVf2iRLjj3YQZo2LyfHEDMCRBAU77Q1NWF+i
ba6qbOOtyA5zyao0UHm3Uxg6/cg1RhyLnGSRnEWydnLct6Utt4XY40EfcEV2K62atMYFe1PXoj8i
OCd+U5iwBs4de5UyskBhtFVV8chmixxiaQa2WbuifggmVSaSQouy8gBU2Krqg/ZovKtFdW0ZiszC
4P6Rp5qY875qnt3M2ovKLkEV5RK5FAj+HNUyaVpcbcBiqvdG2ixu6GwTYtvlYiV4TLgg6InC+0W5
H2wfCzeHj0Mgm/1opLyeB8c2GRpx4oSKurys07GZ0YaPfTzQDAHn+UfKA3Q7ZqaDDmdWy00Fp30k
kgFvNz2TZAvfGvfRNCHYeitsLMZJpVMQ5HlUt+xYuTBMeM2no1gyeRypv8gLFM0rfg5pqKNuFedK
3c3IJoWm10tR7qu+eDflw/OSt5xGqPYgxEkzlxHjebPrcOs3UDaDeGLlnBgSoNQH1XQ52BFDlx0U
O6hcO4vZDosumcIxmZC0EfThOyk9JJSoUqi2z3wil4FjatuJdccCfGByXCPQWptmHH8byJS38Uyp
3TdQDu5ajJZLmunfBkrWuPXBAy0Uu6rM3J8CRusdXI+cBdkioIHY0wa6MZAowd2s6IWnTVKbGcXC
1/zYkDaLDCOPQOB5xFHDHiitcBJoviRywQ+V4CoxXLbx2uoNaOi4rW28+P55QB2JRijNkRJtHtlB
ttFS8Q9WkD3Xxb6yc6yn6r7hBchLNsVFM+ZRAwV8U2U1BXNjW7rlMahlCNkT2LSYMlREZVj2d9Bk
d5syLC5MNhZbhfvrqS1B6tFCX+uOvjFeLbGY6ZjgEoFexOAYCUyGiHbFZm6KIg4LUoKVh8PLeeZd
IsvRJbY1WcIcT0mHUt5638YMj+ehPQYKHeqpKCAd3d1gqmgY3XmmOrUruuGSr2puk24YVDJ4XN3n
jZ8flevPzdrZqISGI6rqecebct72dUFcWs6L3xd9N2wCy/E+wJrsbIfH62Yd899zi9sYMvQELf89
bct4uiZ1NODmvQCf636CL9/vMUjfvQZnKHXzeAx4CQ015+sGzULuQlIa6E2Gq7wCu2UYfP1AsVl3
1ixDHhWBpCmuaxO5fmyTpl7qIxHgmEHbkG1GsfK7VU9FnKF1vvBrOIOXSXiz59wMSRvMReLUfAxE
5SI1mRmAQvm2JlmRCiIWFTU1Ld6MbA4vIc5SMizHhWfd0WThGnmDwPXar4bIFMZ2j10XBnsCnWLq
KVoSmFM81WvW7UY13anM3FXE663wpt62qrYPgQPnu2Ht9UAdrKtARWobniVBFgxpDnUedPIYgPka
hqDC61uOxjFaQScsqwjzCAWN26+1reNmmn5jfpzBOmj1nhd5eFEiYpN81AFYxKWtmwjsG1DL00zl
UeQ18xH4QrVImIH7MgomlHYaHKqGvRdgdUWdXci142a+MV3e4MR+9MMVEhM4qfPGEpK/tSuzx056
d+4on+u0K0xWREHWORtly2y2k9X299ZM/ba3lG08KE0QVHZIqhAqcrGi1kStqEkAvLCU+EIxMebH
kS8Hx0zwkJF6jUwNrUfaBRjfK/jdkiUi0touKn1ljnMHkkxkNd6NE0aHWeQOotNVq47mhYtLQXlx
yPKu2cEQmiJS9Efo5clDoUq2xz1vPnS6BumYhd1xaqFhcgFFN8Sx/Crgnm4b3Zpt0zkQQJg3OM2L
ASrvWFfsiMY+aUH8wXf6SBsZcCmOqmXkbqhIfl4uhNwD8burgVO9HfOmdxFqm2ZLTEWbzYwqwqKy
qecYmv8aSp9Y4yVsRrDZmgGcML8QfZIc+CIq2GTfECwvBsUcmJmTuzaN5zGew+dMIfoOUex1Asfc
2fusLKp7kCG/GcVs1Nj2hgzdPVF2TMaPhtewTrt+XeqNBe18mGcE4crA+JLcjbs5WN2pZoXYyTo0
cZ1nKB19D1EE9mCSL3a9RsM4x3CO0JfRIiTYZpb0kFohGHR8gJbCi40vTH0pLR3iupnFttf9m3HR
FWx++7bATRO3ReW2ljB+ufZ5cbsEXfN7mMtARygT05ayIWziIaQ6qhk0Nnl2r7VSe/j+JMidwUdc
Doe5MAYIbzbnCxEfCpD/ETVVn1iwoIAJZlbH4yDVPS4rKCbdaudk6LE78jW7HsR6zXOubrSQc4zH
st74njw5LSEYWUEv5gq0cWtWeujMEpxGnudp5tXvqsdyx2s9RqCSwngZSxBhitYBHBGVZj+PBO+g
6kJrTM4LUE1vTInZJcEQfk4E+fkwy2AHjd2Ugni/6QseRDMcTG1E0x8xCPVO9uOWruBKpiNZu73t
XHA5LrMCEyO81zWH6WwFxyutNZEO+JgMxICF38LLl3XcY3oVrA06YoHWSGbMnGOZQ1NsrQJniNtD
7+ZbTFpIztaJSEwTPieZulvmPjxo5+4QJFGE2LRpR6HSuS/vfWkul35FseZ1GM3EFDhaLRYiZsOK
dty1/YaAwgEuBGs0THs1AidPwvqD8rTX4AK0IQTzlINfzYGQsWrrN4sK+HvPBLiWXqsYhMUK8LJu
7yEMk0XWXkNLbetNDbR40esuu27XdT1fei4vpOrL2NbmDcv5De+M2gyhOnGDD+WcHyW43duQdSAF
F3qjQBcdCj3EbVMkRdU+LIN5ZKMHo7Wrddx4EQX2JutGnaxwwHLXMlrFJPDlLUW+PTSd75Mx5/qB
EcN3tp1A0sydT/pWJvmKRdLoOkyFrINt1asoH25mOGu6yCdtzg3k2qmasyKLS1GD7O5b8F4GBhmQ
O3bEA4FzsSasUCrr/jwfQ5nMuN1jDnwahWwttnKBI8GhALUQGbFAOanKzMWIhQgsR+62tKkUwCgr
8oAaHX4UQDXby7l07zB4DZA/A/FHeKg5d3J500uwqMqAbDzw24VaSiPiYJyDp9WCMIN6ON0U0zru
89pZHam2R4+saIN76PvpcYVQfphdOcYzeOw6sYPuroAXugbeOix/57Man7Tooa8D00CNcChkLVsP
nWOFBfc2HB5Y3xVXYzBDGi8WQIAzpklfZutklmjtC5CZZU3VfYl5t9ezX4GuWjT+NiHB3gwaa7ct
BfhULmfegZMZhh7UICmvciYDF9NyVm205tW0wpYUYR2HRBRvhnJq93AcBTLODaTYQEcd7sRQFWvE
fU3gXlKNsbLT+GiEe9IVDeJ+6Z+gLQ/GqCm8SVBDnkoQfHDgtoJhFQUGLJFuQPIwkr4ApvDwJxlq
110s3GuQlIg9OmMhl+Ay6i4Cyrt3tCSFiDuS+U09jOy9AUG+WceQ72WW8ws4ZZ0vh9ZXYI/BmXDL
p35TFyW7GXgIjKZFDoHSCEBv0JzugiBr4fxJL7GB38r46HS5CKTiCN/gYcPG9TOJBTbFDs3t/+Xs
y5rttLVu/9DlFiCJ5uU+sBaL3fdutl+o2LFBiE6AEOLX37GSfDnbOm7qU1VenDhCS9Kcms0YQ0/R
RtGGbMugPzSUeYembNrbxYu2Z1TW6pMcusO+r6l/SDzZLVkpoojD/Jq1OsbRVh/joGSfh0Eua05b
X17NXtu9C5c0OIaoyl7EW0vuW+2J+RCXiUYrOiQHIiNElTQ4+KSKcfFt/ISOYiE1DnC1J3/0tV+d
Elk2Dzj4Mt+9VF0O4RDe+2v9RzqjopdxxLSZ0usrHRd1mGklc0H3B1Wv7TEcuzRT/q6ysg7NIVq6
/SjNx5EfxezLjITDHTqCA/5/GbyrRnlcjZiKlCf7+36t/eNWDVOuGqWP2xbEWdlOV6RnyDrifbpA
FlifZuKVT2r04etV9Gkrl9rkTZ/I3E/X6bZJUPzaUAJ7oqIUbdb0jL6g2bSf6ropH3Wv+WnZvO21
XIKv7Y6ig0hLet9PU/e+57g7BpH4Gbhk/FHplBQri9ruMKWy5hm6KNF+aPYyveYoSyLrEE3zUit/
eYpDNHzysOPVeuhCn1+z1CAkqBIaHCuCO5mJ+FDuZHvejAguOFNrQbcUCdpw7qrxS0MHtE7JGufn
mzpG4pHHadcfRgACsjGQ/vtNjVO2qdmgmrK258ZscGy4XvOBjS/IzBClLHQqkmEkt41u1lNnWn40
IvyE/lt5jUCkuWkRTR46iYTG8C66ZiNc7do0bW7Q+7ttm5p9iL097ypfnxpOzMW8LPGFGMfpetwD
fhJq9p9qHa4Fmgwocy6jHlG7MaMsll6Xz/W6RXcoV+KnNGgKxrKn12hNBw9YVYr4gJrxNigVO6C7
1m/ZsMchYBRjst/0+xZ/M6bv2gLdF+SA6LptV3pK+SGhO04Paqkv1U7VPVHjg1ftxx7VvFu5LdEl
beMmzYAAHa6rvkIxTvpsx1+YVnVqxkAc0n34JnUU9JmO0FKJB6L+bAEdOC1eW16QqsX3hnkMiwCB
wjX1t4u2M2CXroDx5Onq6TirWM/fY38/mVA2xYYiAq4u9NWzqguQtm3lMWrmjz5t6qKmXPBMBzWb
MooyHYo76N/5R0qJp7KdqCjXIkJLcQrWa7Nv0SGRvXpdDDEPjcH9OMq4yZYaicFEhuu4Z/OcjRHD
ZYOeOeJ/aWr+tMhEolzczOSeVPDQy+A/oNdw4hrnt2PmXdAy8efudfxlTqf4T3Tg0humgiuuGjJm
yLdDVItCPfXwhUF7mDZv+OihIXs/BHLKWN8HOBWBd/QFGT/ptFlMtpWrCLONRygFI2b4ghooMo9Q
kvsq9EkOYFAzYOO6ezT+t8uh7tMxmzfqX1cdh2k3CxpMHpMAdnmv5bRNn9Ia8cYhGlb/GtVn3DZr
w5ovJYqVSBOojgqig+YCmJ0UG6TkBxSGXnm9f9Zb2uIaj6Z3JKzbSy7ZLjJcp/xjgPzzw2J8tHWU
75sLPSFOR64xI5vyW6ADkLMcq5SvuRBb/5iYbj+UfRLdL10X5+HY6ou9F+t+QKVvOQVzNdBTP2pg
MnTWlBqZ6OIdTEsOfyU4AmWJ0x5Pj+h4BdnEhwBVjGreLhIvTNHK8JLCk1v4OFB/vYk9dF4X+KMn
gDy8w45K/xFB+/bQsopehMtSfayXnryTYhHAOgC1gm6PDzCHR9diVuf6uCem4K4JNepO/tQlaHgt
80FP4jhwBjBRXOEm4L1BoX3lossCXR0XLwhvfNX2h6UPAfLp9ygcj0MSN8dIRn2exPO3JuDLcRlK
qbK5AZxhEu2ehyR4iVHbP3A/SIsI3jRHf7e78drwga39fpqjgWUh2+M7M8kB+f62fV5bItdsTnTy
SNH8npAi7emdz4PuCU3a9Dn06PaABnb0OUzq/tozEfpqvb9eNVNs9kNVtepAhjp5pgZdRkOWjzPq
0CKb1LTfEr6JE5A0U4GrFHgXbtS9CrsngPfEzYaY66JJZ3KkOnkvu6k+zo3kCCWTrXkngdd50OvG
tsxXtHm/yR09Ai/ZAW7i63gYyX474UAcelGuJOtMfDnXoqg7XV+xjqMcWSbJVcPY3ViK7qhIl1z0
g+kvUctYDzsfO1jEpq+CEcCZvZlQ35ziuDuUifE/lv0E1Ach5IMXkadkKt+l26gf6qnqj3GJLE5M
c3XsNKuP3dY81ugTcqChLmgSw37S1FybZkTltd36OzGs06GfxCVBOPvYxxx1AyRRN6npjMiQPJHb
MU6HC9T9viTz+EJ9c11VaBglHrvqZYemjZ9U6qIpN/9jPcn4NLddWjBKu3eBiuG4FvSkL/umvwqG
SF2jJgBMCGXbkQehfN8KLFQyl0uGNFkm2YRGtY/mw3x26Z48yEi3p0pWzUXoccA6BgXYji/HkxYL
CgCbMqGfjRX6sjX120e46bU9t+S3HDfHcEJP0r9W4fp1nALUeuaKXZRco7TXohV5B7/FDsB/mSvg
CSi609X2si7Vdpf0pb5IVbI/AWLZ5jsvUZJKg/5JIrh40osJ86ruxlfTrk2d1Wpbr7fOnw81KAPf
oo2U79dZbFm9IylFRbqUApa/y3u0l9IPPW/NceQDqgb14B1FH4qc9ay+bDQbLrs6Dh8DHvE70s8o
lO91Ox1STZYH1AbqL61GPznjY08PBIVIwB2C6NpEM/0YCL3Bn+0zqoYbu1a7SaeDEVsL3BZHPwGk
hS+yTOkVApXqC4qEiCGacymKyOaRIwnvkAgodpUsH8+loA9+CVRWlg7+8rqXUfge1Q3+Cnzafo/a
BsmrtPTyfUqbr7VHgyezRegclEP7UjZlnaMtgPS+90xG0jF+Zn7gF7WS7AA4cv20VmifH0aq2qul
bsS3ISDrc4/rFY0ZU97LVDIG7ETbXXRLQ3OvKcsr1RFykjPuGiTPvf/Qtka/oswS3aJl1ebJkCiB
I0/ne3QM6HOnkIB7gxHPYvA+N/OUnKIJ96dqy6u62ma0c9h0X8kt+IP1K8qKAjaT9cPi407kHoBB
UweIzR5ezqLxMpRn1qd9R7s4C7Wajm0fj6d9QiFjbFJ9GNMw+BY2SXkNhM7YZ6OnJuS1paofIgQH
JzTjyqtugB3qSXY4tkj1kTqjWoBuVPikh7l8atJ0yCsAAV76kj/jdkXMw5BL4/olF1MXx+il1eJ6
Fu32LtL1fmGWEY0nDyoxWYiw9ogYWXxIm9GgGO2V9ceVxqi5pW2jUXZAfXsHrgYuinviFPuEXs9h
tP/Rjzwqkhrdu3npyCFFynlIG4nrCr2+Z1TDlgvG4jO671x7H301fwO4xhySoWLPuwz2y9Wo9oB9
mzMkXenVKHSEmgY6MTBVmS200yifzDHqCibyggywPI5jiQ52t92tfHns9mABMm5ZTyotkxPQZIg5
K+4VPVo3z/O6jciYZ3bhUxkiq0oCzZBUmuTb7kUMN8XevxM11iCiMznxNhouh1WXd1OjpntazuKq
DjD/agdQMBMxTbDkwVc4HO92Lc285FHrJV7G2hY+6P8AK9Y0TdiaU71qFhzaZPjK5FDmGyvb13Yx
FVoogAy/i1r0PxjQVw9rXzafRDqvd4yg6YI6LcCwYvVaeKSmf3wrL/MPnPlvmPWXYTQTgBr/iPz8
+8f/9zJ0+OcvvZn//MuzRtB//lR8Hc4csNn+S2cg/L9/C5/5Bxh/Rp9/94f/QsL/BOv+9JcK0U/+
43dA+C9v1Xb+h1fyF5w9AFz7X2mh/8LBf0cy+Pfv/41+T2MwQwPAus+4bkilnBH1f6PfowQaBQwy
BT44vglCRdCB/kG/k/j/+qh2szQCg5GAAwyqyfw3/v0vyDwlaYJyPwV0Hfo3//PTvtsZYP7/+fNb
ADzGGf+Df/eAx48pWOBn+vBbtPlcbuUATHl0UQdHNK/mFdTGf3///2Lc8/feoNjTEBC4ud3ifGHA
XmRAZZkPdRhtfwsY/a1f9L8Y/gyifzN8E3vC6K2Pc9zhE+64aPerl2pDovPr6YN38MNlAan07fhp
twt46DLK05DN++MYdKkPJ9ywIPMp7v6MErmUp19/7Gd7gO1/+7EZe9+gDhnl2znay+BBqykbTJR8
+vX4YMD88MdYjII4Bay8SU2UK8Rnt0Ggafes/caPbkyCymvhoRc1IeiT49OvP/iTH5TgpL/9QWMC
xEh8/uDapvF2NdSqVAAdqJrnv/7AeaAfnNozx/TtBxK+a38ByhmZ5Bzrq8iQMjyMYg7rGybqJrwN
lFCA5syyN6jytDSQJ7+v1+ni19+3aCP/mk1yXuo35w89+Vmw2bBcVdUqDwB5FTEJvoEoIAHokZVe
0bw0sXcz6CoQOcqdQ4JUpkrCDoItDgaWnE/umxm0lenWloE+oJOQHcg0fIuZ5r/5fT/bQMsrDLBU
JDsLy42Z44/+YAbghFVz7zZ1yze0ScOjmaATKgjnX33ozt30Hhfq4Da85RsGT7NR1oyBnxOv7wMN
XO1WIk1zG93yDFOrm3EMJcuRxO6A+mwemrvROAyx4/QtbxBuVZCgBA5vMFCg3U2EMmkmJUzp+Otf
8BPfFlnG06EGDrhvFRcdiuTlU9x1Ur0nck/9q8Wr0/gR5CoSXf76Yz87SZbvCdGn6lFbQnw0mDh6
mDnkM953y+J9cxo/tlzNnPjK1xtLih2QgNxUFHCLjYt5+s1unE/8DzxNbC1WOgjaKoT5xYBsuTvp
KUCTu9Um4Edk1zR1/IzlTwgdUKEePXQlFxUuF3009EBb9UG75SNf9OZm17HlNOSwypJsXQIcgdhf
gAmq73sgS15+vRc/WyvLa2iBpqFGjFOEQC/k7TzF5KaiZpAfBEsAQ/n1V35youLzv3/j+Gp0DgUq
A0kxtdRcet3u36dVMLXgzjr41b/oeW+GH0pugE/Yo0IB3YtySbPR12gfxtxteMt9qDUeINgGZOTa
YgeAXetyqjwUOtyGt5yH4uALtaYBSm5eBfbAJJuXzb5BV8ntA5Y9ixQFTJRvEqCBOmA8xoD1Op+a
eNcPTh84R8lvtxedBDIH6MUV6Vzz93Eyzw8br6Rxm39kGRoYV9BtA1ytGAldOCAHZEuzWnTadzOx
yDIxUElktIRTXIi5Gunl3IVrkjWKgvH26wU6e54feKTIsjJTNZXfaWyxLM04HZuKxPFD5+1rdFUt
ZSfyrQpN/7EFx++T6ivd/8aT/yzmiSzDQxO7jAdAzYuhTdrxqvbmMkZkL1KEdcmiG7oA6dTs64Gj
J9+dxLZX8TGimgzPq79E6je//yf2H5HvD4gBbREAD68suthTR8J1XCRxS35zPoKzpfxoecPvh2fr
soH8KtOC+ECi5ntQrkvOyn1vL8aUxOa+mrvh2+hR3V3QPenZHRCBYX8bxknSfEwAH2G/mcrPfqhl
y0nfsHHQnBZjXM5gLu3p13HbtHTzo5Flye0ENjagUHExeaNG1ymgbVaRpPrz18f0J7Nnlh2rYIrA
RahoUY1b8spwu93Nvte5uVF2No43XlqSqm88L0bltkUmc1BBgoYSSuNm/s0p+4mVndVq3n5g5tKw
cJuSYjG6DEEunCb/8zYGsLg6rP0h67kauyzco7H6Mnb7HLpty5kJ//bDRPctDtEUFVFSdgrNsHAG
7w5Nf0cPziz/sdNdSLSO4hwFziAHS6067hEqu27bfj4ObzYmAu6rb+S2o2MDPu/eo5UXTWPzGx/0
s0Nl2T70hmoPnY69aEIOPAxICcfSDKHjobJMH1nPkAA/vxch8sbMr4MPfUV/F0j+bOqWNQcRiuBb
W+1FFZvlVpkekMpW1iA/uC28Zc41qD0jAS2y8MouvQyB+gd2MqGF0+jUsmYyrmxcBEZfShRfNQG/
Ze4C7jZ3allz0od7ssbYVm8J6wMQeiDioPjp5kepZcqN702+Lue9kAFvUbEFqnBldD/9emXOZvOD
+4Ja9tqXrN73wNOF9thXpJ1iPdFFjH2x6Dhy/AWWyQIWsQK2U6JHAcN9SpehyQM6CLd0nFomu/QI
hcCS1cUAmbUz3E0dG9M7uhtqmWywABuW7I0qqrml17zt4ttxax2nblksLupSgIu2gDralMEBKFdg
fepN1Mdfb+5PjJZaRsuA0BUeeJP5eIZjiKVablRZto5GZZmsrTlCQEpo79mEnpPbuSGW1YqAr7Ja
zwTHSoGCPrJXk5r+Nwf/J2tzFnN56+kBgxY0Sco1l20dAPEPArGEnojj1C2jJWAEhmWTrFh573UK
Ed8BDV+6bSuxbFaM6IV5c/TP1GkIGidUV1ynblsrS0qV1MGapxpF4/A8OrrYrqOft+PNBSv8dSxb
cBjyrUnrg0qEyqIIPEynA08sa0WnOxkg3ofRafhVcopuNq8cK1vEslaB1ycSXmHwdFcdMJOARdYi
2txig3MT5e3CbAuJy9aINWcLgCobsExZMJaL2xVFLFvt6jHsQZ1Qeb/uwFHV/Ktq9sBt1UPLTmeI
MQBZrFXeiZqiNchevRWsHqctDS079Us2EVN7Sx5Lvz+C1/zHrIBdcxvcMlM5p1uDSFjlDbj9WdRw
IBsnUIXdRrfsFJozHlqrKaaequB2RnvkoYzB2nQb3bLTTdEQuhipKnbwx6BnABgUO3oQVJndzkxo
mSoIammnxmotDO169LKB3yhGHS5f3OZv2WrAy3Aatg43azm3V+C2B2DbNyZ3Gz383pzUBHJYBcph
saTkE5QFHmdKHt2Gti11NtBkMd5S8Nq7g3t8BVXCsXwXWnaacg7FjT5Gj17XyVHV7GWANoPbhgaW
nfZi9qY0Uarw+MIPgKnfxJCHcTvsZ7XOt/4LbWE9ziBi5H27/clN8CFk3bXTggeWlSZcV9A/8EyB
YecFyh1zHWVmJpWb6w0sO12BR6sFnZYCam3+R7rAD2Qz3wO3SCOwDFXJNvTbclBFN0z7cdjizzUf
S8dlt4y0TLiMVz6pgpkJKhsdZKFm8bvO63mQHyQHZ/DA2z1N+4hCFKFbCmjdpQCOVQF45uX4wW1b
LRMNl3CZ8HISjmMNMQzS6Y/gFzhuqWWjOx1SIKOEKiYGQGCQbK+tTB7c5m3ZKIX8j+YEY3vN/EKV
uWV0vnUaGqKA3y34oKHcBPz0kvulB1mgprwBl8+xPuBbFhqAzBnvHjiBeJDoHhjJ1wQ6b26uxbdM
1KsRp08D1qSt+8ehGk5lV7t5ct+yTjpqQzbU1PNhXy8mUOwpc7tBfcswR8MWcFWQ20UdCE7DVvRT
6dZm9S2z5O2yQQkFkx67d/uqDk383u2EWCbZps00ghzo5bQWn6ctfUz2yM1P+ZY9KrmKzehoKczc
BC+7WcKiUWQ+uk3cskjSl1vfQNyrmD1ACcJeQGUm/eg2tmWRouUziwPfyxlHdOv50R80JW4XG8Sm
v7dJHGwpIVy0FDWPtoyBiXyE/OXqZDj0rAr71sUmMwT3KFu9XEbP03BMUMV2WROaWhZZVzXEG2uz
FCoBmEOTGYRFGb24DW7ZpEb/HWyPcs6DerzQLXr7kkDaw21wyywnpXwBZsecJy17IGr8wiGF5rgq
ll3inR3jyySd86kjDwxjb2p1HdsyzUDzGMQJ4Cv3kPg3KqmaK0mhuea2KpZ11jNdW8SzOChsh36q
37xro9opwKKpZZtbqqgWKSx/gxBmc/BpGQ3HEBEQd3ItNLUMdNQdLdGrWYqKjn94ev2A5sM7p3Wx
wVorWIEQ1cC6KAU5Wwm4aAZh7NgpjkBB6HvznOo1Rj16w8TB9FCDf7WtYHS5zdyy0KaLIbACya8C
pO7bFoBDsDkgRus2uGWhqpqAuVQrpIvG9hG4ZYiy1U5BCk1s+2QetGFJNxdhyMKD7iBDEdDmm9u8
LQM16CjMSXeWA2ujV3BxrnjMnt2Gtuxzg0SKSEJvKkwAHYx2iCGG3DVuyAiaWPY5MN2nK+A7BVpI
YK/tA0QSwPZzm7ploGoMZ1EHeiqgLtm12awm7xqCZ+bJbXjLPLVH4BUhRVuEq/lzRgS3zclnp6Ft
gNOCiwcEewiWiah62sbx0u86t3NoY5vWMhGQzQJpcl9lna+6Co9e239xm7dlnHwHmn3axFyk9XgQ
FBK+kCf69dBnO/nvrApy4d/7FO2hHryO8QR+0soUmEZRcyujERyFBjIoh19/5GwvP/qIZaRM9Fsv
BjYVLSef2pp+8Ebx4ja0ZaIbEI9tFJcT7H+FAss8QflwpW6tOujXfL86FXRF+URCTJwGH7rVA2ff
G9+7zdyy0XqTo5j8ei5YyKnOQeY0FAqzbS2Obh+w7JTWVZWA0I4juXmPHILnXLrl4jS2bLTlTCJh
xtClSR8Xn9+XJHJqQ1Ebs9QmpuwkVP4KUnZh4SXh8hhUmjshfSGg+f2GhvHqs5XjJEK1x2QgGxaE
OgLGqI2HggyEt2xzPRX9Cql4f41PEgKjbl7XxkItE1WQwMCSwz1erya8btnmZkM2CirVoEo2spqK
uKygPbOba+jYuvXNqI10go4HuM2QTCugYfdAAnkz+YvjvC3rnDi6E5H2ZDFHCVRnQJ0V0imJo5Fl
nOUGteBqbKYiwspkkDfUoEp3iZs/jCzLXEgjPeh9SfRtakjlhOJRealbCGpDkXyIhJie+bKoOOma
TKNQkSvfi9wWxoYiNU0KVFpjYDegiULKO4qeWu7vbjtqQ5FA2Y5KYO1ksadTeAhmeoeb1K17Tm0Y
kvL6BFqaA47LkFJfwNeCjFZnSbqK31ym9Mf3nI03AjzXB5G0x9pXtY4PPYpnRVlS6dZHoDbcyAgF
RToozUEFeBbysOqx+6bSGNxopxuDnX/Xm34oVBd9ikcaoFtWmxkPXERNhhViJ7fRLXON421LfAig
FqqNwoMfAVdOkP06zt2yWIhKB6jC92MxU3DXIRIcij+E2frKcXzLZjc+RZPesDYQv4CqzdK929rA
7c5j9nUaDrrzoOtTTH0yXpjZn0+6HeoLp3W38UZQAiEGYgTjWTF6/+APZXWBB5VH4bYwNuCIwE9C
ixPbmvalnE+xSgjNWDlE0vEDVvSLZpwY+nHFypNZX05T8q6WrVttntqQoxg658AYT2MR0+WZV/Mj
2OXPbutuRb1VaTRp20oWcZ9+6gcNBix0OxwXxTJViZJ54kHiuyBTk3zCaz/bhRLd6nhkLFNdfG8z
O2FDAUvFywSAvmSe8eLcbWHC793MZDz06FuMzsAgzs5q1KL/HYrprxD0B7mGDTOSfAO8LoE0y4oH
HcoM3WLQqX0I3gtI2KeVuOhGo6HfB6FzAv2fCNp1UBN+AcUtlg944G+entO4gw4Y+pLDRSN6GmUQ
9UYxvtpk4utsp42c3mkZeurgG9mLPwYIkcpDhMAyPAYMtfY8HtWmzmLR4EtDCHXZLpX0kqYI462m
l+XQQIQ+8FFN+OgB2WtOAYGa+pHEG8bUUPXaIXyQ1jPYduGuTl0YbvtxXjvSf9rOT1Y8LDTyms9z
AJ2xIsHjAWsxbfi9eAJmhyamv7Lk0Mch5GoiE0OhoQoGyJ5HSQ9emA9m+zMeY4V+ahhBNYvP0174
Q5qYk+7alUJCkFYsX2NNUcKGJAU9QLi2g9bDCvmIQzJxEkMCkE/BtQb/Ob1sSbDQYsdq6wMjYr3c
oRRzN+FZEHqEVglEX5tyKvfnNmiG2C0KoZbD7DaqIqHIUESsHlD1gfBwRVI307KRXoSWBoFkOxZ1
1H0tqXguY+42bxvntaITs7Uh5s1UWcwQnilZ4FYcJJaXhN4+MQEqSEWYpltWeqmAAEAwOK6JVSaY
/IpEAk27ogqbJtuE/BY1k1vQRyw/2YDeuvaxPxTKqPEOBC1+MZClc3NlxHKUdcR91UPWvKgmQW8o
4lcg/9Xy6uTKbIzX1OGhlHVch0JACeX9lECwfOr6ZHFcdstTyp4voImkQ5GiqJxBnxCC95Ub+Yva
IC8fJswoZBgLM4xld8QrBVCjknhLwi3LsWFeQc+D3SM4kVHVsQ0KxT0UJGOPQbHcafFtqBd0u3Xp
1ctQoFH1TY/0ikFl1G3yNtJrVHpapYmHovZT4MiWGQp4B5I24Te3uVvmujK5Q2g9HItWpnuSxQMe
mjig2gFFdLcPWBarx74N/K1CgOAHNFOxbnLOuWOAEFo2O8a6bHZoNKIasUCkRgXRYfS0X7jN3bJZ
7YMqzaB7DqJr215FZGVLhrdCIjd8Pw2t8GZu+gpApgFuuFfxVd0T/xNyWuNWCg4to403PFvQzYhX
UcraLktaqiL2l9jx0Ft5SEhalfLz7dTwrjrMWlaZguCY46mxLtZgCja1IU8uPNOTrzXQ5l/3TnVu
yE9qg75YCKlXyP6MBYvi1bsUKV5Z8Eut2W96hz/h1VEb+AW6aVlGbdIXkDIl08so+DocyriHTpme
B+8FhLM7z4MyzhFRnEgPVYpk9FR7jA1uu2/jw8DThUxTg/hTG1knB69rIEDR1f3YuqXRNkAs8iEe
HMqzZ4KcU3kNnUjwzow0i+/m+myI2O6rCYzXENKzJODQwtONplkj6OoYYAWWeUfz3k19iA8YBVHt
elcf8GLoFyfXYaPE2gVqi6na+2Kczo+RVeQbxPFcJ25ZdiV3PCMKHd0Cse2pDaHSH85uJYC/KJRv
Si+d5/mVhoJIsdAVT2B5FK0GvT+5LYpl1QuExKpAr31RqinJVQ11r45xx6vSxonpmA99jx0tOIQf
P3eNJl8mD9eN09xtoNjc0H6gfdAViLXu4nW/bmX1yW1o6w6u8CoYxZsJfTFvYX0VtFOSVXzQbpeY
DRWDLifHK0CkK4iAZFaGB0HkVR2rvnYzUxswRtNtIFHvd0XM+uYg0+RCUAjnuy2NZaLT2FdVmfK+
SGmtb+apo4d4adbHX49+jhJ+kKP71v17fnsUUv6439udSoT8/lyleesHw5BHyOp6pxiL2HpMUP8o
SzyK2hb7FH9Gon7bxfWHX/+C8zr89y8gZympt5VSuvpoDYKOBYbgUELhe1brV02km/QASa0F4oiV
+7rs2yIdkxLVHbyj2EVMOZkUgdjVd5MfwkZt+4TJ42VO5PgBXuqApISbOyA2fieN9tgwiDsXeAUp
MMeeo/l7wNOQzeqW6drQwARPcyQRqYbCV2QZM+wDngkTnp8OR5fNpb4VYnUen+Wacric80sPi/9U
BaXT0lPf8sTQDFkSf8LcUTRlRz6hQ7MriAm7TBzveX+/sT18jCcA9syDeCqfVuONz33N3EhqEEv7
fvSW94Hyw7k9X63J49gRViycJU6LTmyI4IiikV925yNfo9g0yOTRoxV3XBgrGVJm6Y3C40cAfkCZ
6wBOqXzd23RYHce3tjWB7OCIyLYt8GoPHhmqfP9hAJ/vyWlbbVSZiTgqXFp6xyqotuGqgaTmXRiO
TP3GoP6qtPzAm9nAsoiSEOrLCt4sUqy7l3htTV1wscrphERMhSdo6eHFIYkXoYYbDw9N7Tdj3Mju
NQwIPako3C9j6hmW4bFiBXUFPGYg7rueQaAe760aDsnjutw/D6Xh0K0fceceFGu2L6Sj9Hodm+XK
8Ho9kVJBFXmHBgZeCek43V/qAPyWR3HWqXiBpPo4H5Gw4U0ev5s03kwH8vOuwft7+xF/e+a3BML7
q1MgSWxVMuAa8Ww7CMl5VQbN3ZqK9CbkISSz3fbUOpED3qg7KzmLItz8r1EoH9OgenAb+nzrvgkl
kWtC8DjSAq+MAGfbhvQyHObfCWmc5/ejo2JdfEp5XbXPmyjwqg0hl9O8t/qYGqAejngLLK0uozRq
a6fqGvT6vv8lgUxZRFcmCm/0ohxP2rV4wrmt3rmtU/j96DVEWpEjElGsA15P90qIfTd4r+fXg58X
+0frZN0hgY9HhMSkRBFBZfoZqGp6n0B99o8NOui/qWz+7BOW0/HLNK7CUYp83ggeJq8XiQdQsnVC
sf2SazDafpNU/2TLbdQc4AmVWqO2wrtIixAnxbYA6DCvzfGWdRLiGT3HthOxQXRVjdpJiXcAi6gP
PQDdog9wRI4xVWxF+x4ER1AI6EURoB2H17xPCwl+46B/shM2iC4mwHLu4OAeRSXj/8/ZmS25imvd
+oUOEYD6W8BOO/vVZK7mhlhd0QoEEgjx9Gf4v/rLZ9euE76tiPJyYiRNzTnG+NxZgR1+HKXC3J9X
ax/fpC4g4vKv/691zfDZvGlEhJgOBAkuLULe1QRW4H9/YS8L+D+8sNdRYDYoMOYCQFhCMJA/+SiB
3Uhuu6yQayHd2qAVSZakvmuopEezBl1I1dx0jyPiaiHH3CR9L/qySNbmPi5JRkd+4zO/WsaBxD3w
QPjofaeHUk1H3aQ33Q/JtYYuIAitsaori65JHwSLHiYwq2/6La81dJAVXoJwgT02rZ/uW2vdHSCK
n2778KsyEEDreg2gIhddUtkDeB40C6qnx9s+/WqVxqqbSxZHzZ1orHmA6vXLVIXbwmHJtYau4qKK
1nRp7kBu6xE67YZTPPW3SVHJtYwuChvmKXpu7oAtA5CylgAOzvZw23O5One3Nga8nYyqcJo22zFN
/ZuZkcd942O/OmnrUQEOQwdVDICId/14187jbYf4tZQu1NtW6QqFVO8AjxuWIc73nv3LzvsPu9a1
km6FOn+Hww+LyII1BdVYDoDajVvitZRuR0iPXUG/hGtJh3yozDhdoGrqNkEaAqn/vqErHeC56JiC
0WrcwXzty/lh3LrmNh8kuVbTLXwoBzERhXD8HTPbD1AB/MsG8z+t2v9wWlxr6SjfE4RTVfVdEiKy
PsSNBogOKsmQgJCE8QFoBzsBtGfV7MDRXfP55IADQ0Km4SDALioGD8okVfpDCwYGUClJI27qwBN6
dU72yhEQV5g9NGKbj6x0yBSOutvmauQ64YcAfLX3nbMH4nUNlYX7DEvl9i/P9R9e52sB4RZNCSJD
3OWmN7vq3JBYLofaghFY3LSNXCsIh6YBXS+pRbHNNcfeGtoF1CTGE3LbtelaQji7btnX0iyHZazN
QUvqC6PoTU1ywq52KVSbQAETvRySS2SZZxNM5lTcJA0nLP37ajRipWAD4MPXBbHTvaVTNvbpbfJE
wq4KCVovMPIvw3JI28TkpEvaDP29n7f9qlc3ARCxZByT0oG+UGuwoyN4z8BKuu1suNYPVpDJxjQi
7jBCFJSN3Vw994K495u++7V8kHpjCKirDnRwDGxot1eHJrDbHsx1XFkz+2TEDNkdEK8Jzq3eup8c
uN7bKrhr7eAOCMTkFnBrh4H3OUK3EWZDy9sCW4CY//v7uPgJkVki2EMQyZ51cTfnoruxVqFXLzvr
Fh4Br2QPu0ZcC7A2f8VzfZuXkFxL8MBh1FPZE8CN4Z4plK/rHJvabcN7cq392mGDKJsVhZUw6U+r
ySddAwR008t4Lf2qNXqPI+g0hyaeQVEHIfpQlpDR/fdP/4dr4rX6q0+6Ke1GAh5N2bP1tQagUh8D
T/v5SGeDU/C//zP/cIhcK8EAnSpp0uKPYKmMijVlVT5sQOre9un876+lqUvhHMenV9XQFBIysFyN
4fdtH351dHct1hT0jPPBbIABNnpqC6vL206PayWYMjR2mrH5sHYLkIa1TAHFU/ttx8e1EixoXDf2
2c8HV+89mE/d25607Maf9Gq5gshD9xG9noORtch1v7U5JKm3yf4x1f/7TzqIIJyQpTlEOpoBpQTG
iJhwW3ITHNB///SS0n5OWm4OjZvqfGe6zyWS628raK41YEsS0HKeK3ls22H/vMdme2/j4d+i5P9h
KV2rwErifbJArHxgcwI/yuXUNmnybz3Cf/r0q7suCDdoVweljjRC63yNfo398PmmhZRerdIuSZMS
/AxxRM5X2WfrDnWiqwGvv+3jr9Zp0o9kBNddHZnRAwS47cbrR570g7xtrV7HfRkrAXUdjToqm2St
Su/7+MZy5lr8hSCuCRQ3fLSmOP4ueojhNkEiuVZ+gc/QlLWY1HG/RB91PqE5raW/bedNr5YpmJM1
qO4jLZDCdQIH8DXmt6UJkuukr5hBVES0pgWH/KEdokc6NB9uelX+H8kXYoTqmQy0ADteJ3fU9PBd
114vb7d9/lU7ajDJ1PYLQLd0TDZEqFNL7y9WvX/LE7wsxv9w073Wc4GZZqj0JT9qE9mTK9dVP4Np
dqHF60mU50qDL/bk9vL/43L9P/e9//SPXi1fEdJyWNupx91v8wP49X3TpwacUay6/liXG2h0QDoD
V5MNZMLZvrUBtPfz2Bte6yMu1i2YnWASr+FclyEqfxDiIbsbYkhau4y0Yfc+Q5FjpseOJ9I8rbb0
CT9vERUTGJl7X0VNFhPVEEDWnTAohEaOny5jCoDOH2auNTCltBONPpO9Q9xzEXChF1URptXPeRdI
u31ChJxfQTvugPhBzHdogDrNErVEnGYqIBq+OyWm44i+BwUcp3MGX0G/4AtaMQ5vJtW4DbSilX9p
o/Gf52Wia8Eh9yXZgifU5evq0wYE4WXjM2pkYocfI5q2Ysm2OYkTnzHJq/rb0NBO/dLVAtAPjJz7
OOsMaV9t+HoR6Z3MrkHlGxAaBQSqb2zSFQLGyfKwY2STHqK03Cz4m3jTVL5yH5gu0nVn8UMiVw5O
Llt2DV/YNIYTKAFDLrhZ+VMbL40s4oZ4YC8Fn1CFSS0LqRGAm21TxacB+s12rEFWVbg0ixwdEkCr
8c2mYRYg6nIB38ja3JVUoGzEXsL1co9fawRBepao7DKVgNNdLHpIv09O88IDAix+Lc0eyNHMI+ue
9xngxfcaBD3xTFxJQHkva7lURb/Do0KPCrhZJCLsXCz9ExwaEr+XaRqDL1fFu6qWY4xUY1RjOh73
7hQ42fzPSepmrPJxRTP4DNagVJ+TTWw25P1AQRKrZHSJgezBivURXCw7RFtI0BHLuhwCfstxPKcM
jbT0zLtB1lnHgRvmXT3kI9+8ntGSCJEFsn0EQPAhXiyAsTP2qGc+Vkv7edvSagAxdBlTYJkJs1s+
VjVNkRJbh77AvaaW36Qjw/igth1NoJrFyzZn3jg08zMlmUhRQTkHkGquGCHth6STMz8iYKXbHobU
J+hqxw7ZajvGzG6t4N2Kg+UOSk6OkLW4X36moAeG47wKaj4JphNZ1KVl7U/cfWSPRaPpuIIby0b7
3C1xxT9DnjXpYxsEbEKAa47sfmdR2j0mte/2383QjwscM3M00ucJi7Y+DKYO6dnopJ2+1JGWcYrt
ras4y4SmyjzHznXJTwpGpgxZWSld3Xm/ruweyGI6fm09DyxH5n0MN3rlCdC708h4/6t0vuqARJw6
+ZMRPpkvcJfvdY7pEs4u+DzG8ARVn5X4n8eI/hrbed3POjUhfO72OElyU2Ml/WopXvNT1aX7s1NA
vcfAuLYvcl4EP8SyMfXHqau3/dXD4JFGmEQjN0AWlyRifrbeDcNfHSY39UPLJxLuxrHty7spVcn8
sExKpADZE5p+kzyl6nfiu/IZFvLoHmOk/ResLToDNbUqKgQERcXW7NLfgyGx7ieEB5GvvWqoKkwP
p+MHEep+eE6qsknOfmyWcIimut1OKswxvxN86+IvMS+78mM9qQoE3+AiZCK2sbIw0WgOkN+6WzY/
2Xh38ZkYbvo3gDvK8WVhStTHuO5GUbitXbF3eibn+gj9dDI/TWrlv3pkAgx5ib6bf6m3eMZWUo+b
PwAy7uaqiDGtWh+6FgHHx7JaDOw1kVirz7W0ip61MYZnroxm/rOuwfjMq8F2rgUbOyljsIco8Njg
7lpQl30aR4WzQ5pkQ7978404hW9QsLhKEGe44Vs0UWXnrN0iOxyGSyRPhkC7vXuePIxpB2Zm/z2N
g+fAq1UDcjmBguBPKJeqPyWWsMjBKE51zgEYHr+ECXxGBBxpjcizjHT7Dg6sg0v2cwCfbi4B/HRi
w36/Gz+OWetwTHswVrvV/vLLStg7EBwzDoQOaTXqY49PufyQxi3zARBHTDoPg081y+D9HNhdrxLV
Hda1In3IqsTJ/cFvtkLXYgNZSp3iMqBGhJOtrs8WlLUo2+emiT5x1s1pUVO+RIWN10QVwEPv7fsc
76Q9rW736m7RY1QWk0/L8EgA73qNE9s2n9BFTkOXNX3v1BGp8ZW7Vx1uMM8BfSV5pF2D886VJZug
86b19gjafdvl4z4nLqdmFhF8C7MFdxjuud0mH13caZgxBurca7PFIj2NGBm3zyOS7popWwMFQAe5
4tkEXH1yToiy7oXZKRp+pM0m+0feE4t3bKh1X/8mvdzxJmhEttnDWMlmPeIv29oD0x21b7xb6/Le
Vk1LzjDR8v5pmVMwtw7YjnpeAJVEyj87opKRaW7rlp3s2FQVtM1wYOEdkchRuq/Bajcn02oCzXAK
DXF8sAbUw2x1YUg/4d+U72tSu+17j9B4eNJVWo80nxC/WOUR9qcy30qzfWpT7shJKgOvC3jwEKvq
dZbAn5vFASk3j36DgWQVSY6Bgqxf8XUZe9l8qJpTNKQUk6Om7KLls9b7ONxDulvvqIqGffuFU8MO
HTJS4zj5cJnUkDgn9ST2pz1WVFvsxHsoz7LFT4+gWQ7g2KPHhgwmM5nsfI5drdxpc1yxy8m91cgE
qPAYrc2cwiqPkVdX7YBPT40P4QNRW68ygMwkPwqqsb9lHfHt/BK7RE4/9tka2maA2m7sHCiJt2eK
t7/+2toNCBr8kWQsXzq0w/xH2eEh3u9pO2/FQBYG4O4Kh3mFh5vq9eB3IXyF4smNO37MuVqPq+8i
/SaS4PTrime23k8t9IMv7drUTU7berRfNyNS9k2nIsgLbhhB1QZPivTV7wGZqfErUuup+jEieaX7
PvVTl+J+hUBEkus2bcVJC2cD6rc6lnzMpmgJOAr7DccHqj1ExvKIrQIgZoJqB7JREf1EqnygeYxD
vT3vy9R9Fgve70MX+57nzbZj/qLFQL+wFLqInARZtjnuolSAiDiK5S7tBeNrRrZYT8+mnmpYjhPE
dx6NavvxiWjjgdTlcGD9aMfJbUeWNHR9SYZ4Rv4u5qzqM5WDr49rD1LO65TW5Ku0oLwUlpZoBcgm
cvw5DKYUx3huffqC+RMZPvadsPtD0g7TiA2TYm1AFg+hmrzrEKI6P5W6V2bLJaXVa4DyJcpButbr
R7v7CYZo+F5TnyPGsOxyoZLGvHQWPaas1lU/HUiAr7Y/wqKWHGRJhqGY4zLFL9HUffJEF3MhuXJ7
KX4k1L51lSu5srTQyxQnS9btW/jSyh6pSdmu4Vr8bGBuI++V5ePjPCyouPK6aqM8aZEKF3Ls7msm
PCfuS7og9uBUcW9w3ostRplOYOA1LguERu7c4CvEH5ZxcCJPGZ+KLtTLcNdtWOrfWDz79ZiCdp2A
TDIj8iyhDZEF6aEjzSxJ9qPCYeRdNrOytc8LpFNqyDXXon/sbBleZLgAUPd5Jw9Wyi4+SBBsNhyj
KDmKeafY9n2/RtW54wNzn0HlTtaPw7wkOQYNU/o99KVf89LX9IRyDdTMDi6aEVO3bN7a+lQ7g2AN
Cl81DluS77tTJhsBQ+KFm+P0VKEe+OK1IA8VopR0xoG0Bp09SXmFzFaTZuNIW34vfRV+U7h/2qcU
S0ff7a3d1dMUpfNr7BHxiisQcY8Vl+mO2imh8+saGSjJ3SZyDhv5E4YiMGsDXkqQRg4b8lOYZfo2
+qg6dGnLu0zrzT2sXa9eKo8E/aLDa5yzbfF5WpfNiVKqHhdehfsq2frvoVrbT4qA+N7E/EPPZv3G
WjWorIqNhexk6btuyra4Ud5mFardcAygx4UTX9PqnSdgZbs2SFXgdea53pd9Ow5zy+4D5Iv0zUdS
fKp6D9VCkbpBRKdSi9X3WYk3V8ImH+r4d+PK4N4Y4zxka6M3CSlnsvpQNJc8gHMfth2xKXJOggFZ
d5psintMQ8a2qPiaRPdrQuHGhq3Ux/dznZTq2UabdccVPv/4fed9ynMV6OoeFmpY9R2Vq54OzKVR
ejKNaehju609YK/VsPaZT8ws38nSm/hlIgsxB8Q0hAGRBJbX5zFaVf8tqsESbnMWGtYUsW1rly2s
QSmq3CKafO5Ro/isJBEhfRZYWJpfm2Rkely3cd1/AkrlUQ7VTjK83T3WFjNZC8NQe0CKTpnezbJv
2g9bgrv/YRwo0UcnsO8UuNFU4jxd5HeHSeiUvMBU07IH6GdJUiRqY+qcwDa1/dXAH6BfFuukifOg
qrW+t5MlMc8QKCIxY9wvzPEPuBqLFLdgSDb3B2t7i32hHoRPnozGkvzU4bLqv3WsU2cK3jYuyNqL
b4klXfRdY0qJa/I2MkAQ0YSuc7wdKJayclmxu9t52YpVV7P8wuHpd+/SY2//au2k0rZgYopwXpUD
i9ZP3O/tVmVRmgqSOVfOOlcl6dNnu8st/EVh9+9/zw3cbAfZgiT4MfT1phA4wMb5FYxn1m2HYUW6
651qonR85Vhl2BFjMk8S21O9CTQL6wG25lNL4tqfSFd3sS7oPqMEyHrOeYUY+BH3D1R87QR8vLnU
IsC4OP+hdfNc+TvVVd383ttoXI9jGzl1tlYtDL/YrvxcTGm/raCyM3iReA06+3fnu2k9mirWUa66
JXlopqrk+YRpsnsMbUsr/CSigRnQosuez2adUJROHHEy78uOlFwYpKfycazS6c6Xm/w4kTQ4VAds
381L6Ps+m4HrzGAKqxYCvphsx2PwkoW8AuF0Oe/E4oJWq0Vk1vkxMplbnLcfROJF/dcKtIk87F0c
1wX3l3M1qywYE6cSZfZjg2guvHUk0eS+bIFMfTBVGL8oiYdQEOdo0mdxA93Au+33NkKVGuLobtvx
Xt+hDkjEvcMR0P7wnjR3uAIk6tuIiHNR50xVcfPRrKyuEQmdaN4sGV4yRnKJXTXgNhfBOLeLOmme
ZevjPZ+x4N+6hOlDXzZ8wFIrl/sxRgfjCf0Kwl7lsPHu3q+z+olOzFeUHi7lQKpwSMBHMGLSj0Na
ld+RZ9E2RaWxKTbt3D05F6My2xEw4s+9kHVu9gDgCPT/8akRM+mfJkds/zSXi31YjBnbHwBEuz/R
1FlbbEuEn5Fu4r1b6GW400mc7Rv17xy1hCuqfUKtDl2T27LeC32EWVnxrDW+Qm2AUeUK2J3c0K/F
TmjR33Hts4cdAQRGeen0wPg9v3coxrKUQYF+Ritd2UcyySl6JQIiPoiCxFCt55VXlevxoywhtnB0
l21z2GIiW3FoJW8+VBPY8IcENofpr21NuzWPanSuviOrAYDamUlLD0OdhhSvZpN+mhvcR+7C0Nos
bbGBmmxdZlDsqnSpf0mmbfpO/FKvedA2wW1H0H7dsnaVffStaZLyp7yUJie5wWX+Frj547reUZS7
akpQzGraLScFJojMFZ/1n5FhyWYSyI4cWJCYHnpF5f80/zqy4yEEeUC+ZUlxlQFU/bilwouvpooU
/MeNKtEZjJRGMpI1iCgoUJRof8/4OP7q+40k2Odo3Q7vSGpTbZ7OtSen1tHwG1fnan+Y+7T8o+t+
Vwz877Cmj7r2dHqLypizPwmQGew3rpY1OiNtxR7VOHfYO+I65GmVTP51VqUwsBphtkQrXsWvTcQ5
utkoPeIH5hEoelTrzNNic3tMDitf7Zr1etk+IRM5oV/MrNYPUUTtF1mK5A0CCrffjSXcIqdoxMV4
6/W2HjiVCPTd29V8wTPvHoakg6yNtwBwI+OEjuexVmrKmRm0z0xUdl/h1N2yicHlYwz1/GHeTPQq
uN+euNpreRxLRC8ceha2uwlYibvE9PGZApOMPW8g9r1WFQsvphrhHl5X5P1kbFpK98kviHj9jgAR
XM5s8LT+itYwERlfA55D6tsW24IiCRlRcQj4j2Xs3uqNo0gkaCVUFaqMlkWIhxV7VMyQwbMDkxX6
Jh54dXBKxLw3d6mJzTvi19vuYypHmMA3EBg+NvgiGWnWxCw5tu3gfDajN0ZeTFcLmhODr/M2jqUf
j+1UtnWeUmH8z4vW9TwOvdYPmxB7j3+ji+zHLqG+fyGV8CjYQkOOUppoPEFCKfwHtKKHA7aJYTjO
jLW2SOu1TyCXAxj2MPoYmwjyMe7xW6AdURo2Gly3PUTLawjuo43qds0HtiT9fRSter9D/Nj+O2LA
JmU90JAP1T5uWD6lxOPofHzoFF3yaXL+nowJCs66GR6CqdlHqJcnOASQ74g+B4IaCBXl12iHnPwo
4ZAJb+gzbSsOIhsnv52cq1SAgdPtaA/YfjHDecCEovle75PVOX4pGN5lV6Myx47Zrzqvp9Igvxzh
ReoJEWlS5Mpzs5y3kU7yTgDLDTRquXLZZBFD7OHRK3JZhFG7VhXoihNuTNh8uqLdrfJnB1OGytJx
cz2WMeZdfxacneXZzC6uihWJ2jGUmDqlyftIUaEVq1dznQu6cnh9HA/de8MRU1PEyJtvvvZoaNBM
D0tdv8Xbjt2jiiKe3HORaJZrlfZpMaIbtubjsKK1lcEEtVVFCxda/ELNNMsPAII0axaQAm0OSyjZ
mIV0p6hglEncr2gGVSFjsHqoD2DZrOKuDsaLXxx/lP9iUaDyR2aTXuS0F1362lc+RmiywaWgbqzW
HwMM/N0xbW2sQ8Zgtl/RwKyHvcJF3aHlgJd6Q1EIbHo5gXWtbPlUj3GznxMab8OTMujTZtwQj7x0
U89/Ykaa+jndywHinjLuhtMi1yh9hcFOcKypmewe858hmCP4jX4+Qi5mdI6pClt+Dl7bCIDE3clz
1KOd8jXu9eUX4rj4FMmsTAvXIi5g+nlB/7DL4a9wdsmQxZKkDzFPGS6XzEXDqYHOYv3p06BsUXJe
ujuP/doXMzOmO/SEyKlIQaRxXTbNOtRH3AZ79VBSxK9BfNlf8GCgpY1FWzdquy9dLGQOn0ilWIEk
hhgLqik15tkYhY7VPV83sqNmcYae0CQYMa2fUNtl6MMmXQZn4d4WE16D/ki3JZn+iIZ1fYS7Q0Id
Ae8WISZ/mU738HN1mJA5HKYadSLNo35Wdzw1adjOXSKJfEdmtHaPHlf7zeAPb2hLUYNsZHxhoum3
LxH+GhVldeLIuBwvada4kK5yX+nzcrlBP5TR2G0ovqCXRcBUKKvqJejE4rIyL4RjgdMOPSuRY9bC
cFuNrVbDrybgdg2BXBA6/jO7NZpQDAiGC9PoYLddQasZ53urxkW+MGweFUpF2e6/uxrTiO9t68fu
SCs6RB5P15ABLGY+Nx8oyn2s5VQJyo4GpdH0pzaUeZm5RCGt2Qu6yM8J+nMN8C/o/7ufaqZL926i
ZYxexwoDnw/r5aKKxIIg+zQX64RcY9jmzNyfa425F14SashxFrj48AM4isv0AAdgxXy+Y4Y04qbb
zKIRRcy4kw/eYJL0iOpa8keURdR+Gvq2m+9FRfx4jhaw0r+TOC7jnF9qtuMy6mjJepH66HGMkU71
IVrs0mCPQwx9rlAZD4ewaDk/N9bB6KJZLNbPew9dYC5jiyFPQ/oBETNzFblfkltTfibeYvMfwDdo
1/0+2oHvRsmKXMP+7E1FAuopIK7zRGxuOYVxUOQ0o8vu7/qO7/E7uoqM3TcdJoG5iTUEAAcYT+NZ
Fng3d/S2Lh216DjNabrkhOs2yrDmnrixgWLWyBCPcYwTSKunYxMlmPfwASOekPVArMksTJthxVwL
Rk9uW9R+MnSL4gGRbqlfFHp6FVhp46KS9pEls7XvzCJV/Y+o6KIfUdg24tizelGfvMdopugr2VZw
J0KQ9toMQ88fyqofuk9e4sE8hFR29j5egNR5WvFdUxDNw85e20Xo6n5rZ9W94aLXlGseL6iWp6Id
pUbbmiKjrYnzBYvZRDmyP3gwBeaAQqpjBzngJcJYfEOCYWyTXCkEYOqDxijILmcUYDMerBOtmV9x
Tg9oPEOMg1EaajcVPhE8dpirFKu7/Q3Tk3I7rljJR7Xv4hGXaB49pFGpUNjxGOl16WWMJ9O7uOXc
3HWtmNjj3o+w6CZpGN033ywKoRXdguiQo6vMFuos8ZwJzDhTiK7iyco152hs2O96RWT964jYBZse
L1GvCXoaGwPcXc67Wttcae+7Iuj5QpRzlj+zuaTDmcJc7k/TYBZSVGsww2NqkVODFmmMeesYZrEc
GzTxkyyySRIdMaN0TdHLSuHaaSZrUCER3ZAfmwBF/qHcq3b7iEgG6tB7r8t5/00GRqqfphvj/hwT
WB3PMbq+0xPs5bP73COSGrXNwOj2mNDIhr/CxFrzGEIVWTT4tlTmu0I5kqG/vGC20lgLsd/k6NMS
a+tzFwAOPc/4Cm2x7Gna5dDGc8zMKb1oVFd5VJAHP/cryMBvse8q+zS7PRnuBbB3++XXFiW8DsoF
kOGtoO1PtPkiUrRMRsYirBX3mdwOeNv1AZV1hwMSG+nlmu9n419UNK8kD1GUzFgscpphlzDs8gSV
QbsKlcTM1IsVax/Bl96I5vdyOR9/iwU+e8QbsOo8jSokWYz9rv9E5jl1WHsV05PLjLQw+qPFBFCU
qOMmLkjKIshrSDWVz2ktnD9iG0UW4toPzfrHtZvZHsddaPZl3hZOcXmZ2uU+BLFvX6TQZn25ZDiS
k9VLmWmE3UwZqtHq0iw324ozFwPMVxmCEve2htPgGYMSjQwG1MY7WltTh64VA7iSMvcDxtVJZjAW
pf6wcdOhazdP9UfIJBJURCugzB9bKBtxLoKxgexGtcpSvQsTK8i1hxjzrPVuKOdpdFkDvx/NRgkd
Ackx+56XP2gkVWjeomETux/oVuxNlHGH8rXNGHZZhx5iP8LtkSGkHvfO4wZ7KOBAw0Z5/Q0O67DM
2eIBsZnu9OpY0+Z+Qn446tCYbywpZlJDylH8Hzs7xPNGTN5hUkVcHkMRZLNIuqnMEZRM3gj+7+hh
9XVlzqq+9H4rXL83c9kzafkypnY+oFuwL1AqR2V0/j/lssVbsLQ/Iah724qYt+OS7aFmLxhYDUvB
S5i/b1MwXScL8UAHPQ62P8Tqa0s/8/V4mwboIrD7387InqwY1+BzSfNRomnRsBstNNdxQiPSGlXZ
CHHEMRmjiaTW+Mlit7b/4uH9h8AqjAz+/tXRCksdFGmYTERYf1M9Nu5B+2hEBqKdDRpO6doCCyDU
lL5uFq1bXLDaKM7HaMPv9N8f30VV9J/URlfCsv/L3pktSW5c2fZXZHxHNSZ3AG1NPQCIOXKe8wWW
I+Z5xtffFcmSxKrbFFtt/dJmbZRRVsyKyBgA9+P7rL1PSItmipXGWpdMM838GGfIGfBg7VGv0X6k
F2f/SdLAH8FUP7GgTd1yqRmGXBMIUFs33VwGvV+F1Ln+yM5EOimJJBlV6TQXf/IJ/wFk+XM6UQIf
xm6ii7W0mcnRETuzqtGa/+QN/dGz/0SfVUz0a63IEZAj+WvaaPejXQV/gov/0XP/hIdSptd5FQZi
PTP2w42aeRf3mfHffPKfCLNO07qi7KVYo0GvaKTGbqChPP7zC+qPXvlPeGgwDXEnnFiuQ1Vp2dOH
wNUidv//3rOffuvv7nY9rQzoID4XfcnJ5u0cpkwu5c0/f/I/uEJ/jiaSjZaP1ZRwuUSWo7+3aEqj
p8pZZ66QreeVW/XQ2FucQqL6b43nM37Os4nscLSIERJrxqGKB7Nu2vNEQ17952/oa3H9T+7un9Ns
rGQ2kIVCc53bToQC7RTzSHOFfz5mrZP3JpU3/6UwtUJu4iq5TZb4VuNKE9ugjfuIs0oYrZjO+D4N
BqOb3c6iJPvt1f3b2/Tv4Ud5+dvraP/6H/z5raw47IdR99Mf/3pb5vzvP06P+fvf+fERf918lOcv
+Uf781/64TE87/ff6790Lz/8YUVd3s1X/UczX3+0fdZ9PT+v8PQ3/6s//MvH17PcztXHr7+8vOdx
4XPoaeK37pfvP9q9//oLdCFtkpM75d9+/0u+/43Tu/j1F/8ji+L//EEfL2336y+W9c0gt0oT0qa2
P/3/L38ZP75+Ir8BYBDxY2mOzgwxm0W7YPJp9Osvuv0NGcIAkdEc9Av0gl/+0pb99x+Zqs6jVGlo
Gs+o//K3F/fDd/SP7+wvRZ9flnHRtb/+8hWg9Y9Lijdn65bumKYmcVnSCPlpOY8LAZzm0BaJG5Rs
oJWahu4Qjo/R0A0XgIK3vdIo14XRURLT8K4OAC4QDfCpKSVpkj3laTO8UFXFuyB1GAieSUFPlwHv
SArdOgYYu5qkOl3z9BHF31hdhoi8H5xBXse+hXdcHIbQJShfsjTLy8oZg9tapz/KWbB9MEozfylt
grEVRGW3DdL0ci7FdVpmw4GASFArQ473RiLVlZosgRvSpPEdgIubsnQekddMTxshMou0nlZSUcaN
WsARTroe+21bUbTN9Y2aG9EJ1C1xTXTOdTUpqd/3XX1j5kRotyG1eDgygtxuOrGFYqk39DvGBzZX
kBs9yD5Rz4vjYITRqy3zGnmi7V77wm5vk17PSe0PoCNMiY/XHAwr9pN8UjT6U4H2nCZI4Mw47zle
2c5x1CBmPCLDS04B9DuemQASEwHjCDN2QWfVp1KzHFcNqhGADI9p6TaDOBMdgzfc2Urte1vJ2kNU
azl1hr1UA5bqklCer4v8f/pmP4vfgETLz+7nu/2HBeJ/05Jgqif3yx+vB9s4f3mLXrK/XDYv7x9t
9MPS8NuDv68LzjdVpVHN3aebtgqr8/d1QXyjHrdNDcOnyZd5+sn3dcEwvulCaNDPyAO6rp/iD76v
C4b6zSARwnYMqcG+nn70L6wLuvFjJcnCQLi8o6mChFedmvZnByAjyJeKNEubI1PA6mm1M0c3Rynp
isz1G2phQ9M4cu7xONobqYw5CmTQAV0nwU4neOldbZZiCyiIsKx3F33u5Bsz75LnrEkpUxfJNjR1
af1Wd/TFHDrqHDzn8FwJ2umabU5Z0yQPESDirnlnLsW8Aeuyrjk5xeMqUivzLchKSDzC/cGGFFx4
Tn8WJ2Z2MDnw+T043q5eCDOSMekWdPzXceVcwHPX2wok+lESz/+enrr9bgQosGmUoF8bhQaknSWM
HA9jM3j+ao8ubaL7QjK0cWmZ6MEqOm9mXT1lTta9H+rZmTPH9oUB9bKa9aTclpGq+fXcS3esTfqf
fQtACxq9chK6txACct4ESG2LuwRxdTcsZfkR1zGUpqoY+9rub5dWdR70pbVpT9YmuiSDCfhUS4JR
7Lg8RULRDLBWQYQE5c55MhBUPE9eV+rpY0vvcm/YU7cvUv2tCfLhLEjj+MiZoF3Hlt3e4AGIdtBN
lkdiEuJwiAXgleAe5UEPQvtQx615DO02eOWIDso2tUL5HGbZneWzPTyWiZ6f8YXzPll13OBEmQvV
PB9FgMfdskXpzWQ+rwLV/pzMtPCljGD/MlwX+zqt6LRnxtuYj3noLpmN2kPkF9MdpMkHpRSsuHqy
zpbA8UHc1ccBtpKFMqu3jhhKv+pT7cyIonZb6Uhso8HcBA4FlpuEnXABp4fqxEknB6EE9yhRoy9i
Lb811axzObfT8V8i42maq3Tb0xDzBtPKL4BDE8tr7Gik+9bBfesjPWMGxo6ppdOKk80qF9GHzkcS
uHFRiXNNGxK4fhssK1CPVafmR8wGzruozPBuGrSQw7mR38+Tnu3tKJC3Y1HUuFEnpz7ShWBCRKXq
V21toFYqjnIy7Zj4Gcymr95bs71wYMg9rQ+rNTCxfr4YM9T5KKfzaMp6oDOdqzZWneyOxCK99ifJ
uAkl5zNDe1J9BbrsGRtmeVBoxV0zYsQ6LHFlQzSoDZBe8l6brSs1+IJqtmi6V2x8aS4Gt1HCg2jm
xB9FGm2mIC7uNHt2ziPeXefBlyxMEqc7xyk3Cc+7Ug0vjUUz/S4yjIi7DLOBW4D5b1pjHJggo85e
Pyeah0BUvNkLdB2svlJvFdGY62ZCWpqa9JLN7q3Vpr2dghUq6ujraqesAUrPclSdLSIXaJ0qb6Ov
/LwCnr6AzoLBkor/u7X6e3n0+3Loyyf5QznEyqmarNOa0BwWYZbe3x9MAoueZdmyHKCCA/MMArcO
jV+iPLkci+o4ZeVpRKm+OsER2ZRRNpRocOcms23pnwRFf+iWYfxkXHnvF1GRHRyqgtyLdSUFPzGK
x7LGK9xaTHxfSSMy81UH9Ba43byk18wL4X5Ov+5tI2oNc1dwX0Dan9aFEfZp9sbBQMeHjEz/JHnJ
+oq9+P171wwKQXYeQ1imZPP5SUOga0e1mIbqRhPhjQPEZeWpcaPY07NqqskXz+kJK6yPFvYA0GC+
47U9TBVXA2GzFrw5FsuVWKISUGsJpg0tfxpdSTZ8pEYPDZ9DoFn1uDWnbFcbSz15et882+BlZcQY
P1G0e/qQtpem8VtdT6XHtZVfTgzM2mmqU/vZnPV7R2ujvV7jdPNa4g1XaZMau2JoDOmpqdqt+Bx1
2MM08UEE4o1wpvyS6HznubTT4nkekIBGmRWvem705wLd5jwLgf2jkXzisgOIKBXarDI3gss5j4dr
/mitm4VGSqIZEfN6x4V53R24D3Gum7GvoAzkaBx1e5x3YQR9gS7XBeuw08ObGRV2cMclbD1e9ugZ
SRqtUwYmb5pRSOT/bKEHmKIzQ/DEKzjz5r4D+fFDw6nuEyNhEDZ2nE/JUDL/FN126EdgEvoeCa2j
LJRe3+riXumEfsEMAuXGQKnfEvvLxLXFVsuPOimne6mU8l7QhLmMghrKKxXDXl1ybWtA+x2DWm22
+oBPgb5MN0S2b3FIAWBpp861em260sdxvJrGPGWUW9HXHAO0eBOZQ8E3ApjGKLnmptczx1P1hUzz
UtNfaXQFtyVAheMF2V0EKm14DLYhxKYjOvw5V6vxbDH07rhwHtowQhPLTkijK2d28dqWWXy0xAzX
11g2HTON7qAb5mBFajNUR1iE4KJVxupKQrDUm0kL563IZeYL0yhWTTP2K2dY0st+jMoziTbmRy2t
wTw0qv0kLecq0lhFsjqgXLF2CskPREhfzHp0k3Fuqccs3yjhfDa1UtkktjViY7FoDbNUtac1K5Ss
XsFpHTNCLbrKF0X5tE8r3HBa62iUArs2umsiobhIpWKzfC2M/dciyUph+v1p5WxOayhGE9aZLNYX
FgJ8Sp5+Wm/n08o7ndbgRjenfTGWrLmVXs+PxanDoI8zK7pW1teDVZcH/Dz9sxil6peZZfkpA2HX
+dfGkJz2COu0W2iZ1mHSOu0hdZjGytbSlyL2uq8tSHWqKHQdBRCESLDaup2xNl20WG8CfzrtaxwO
jc61S2iZTavazV4ZqmrdnvbJvkkWP/naQYsqtF/HKhFsFVzTBvtUXB2qLB9YQxn1sQXHGTdY10DH
mq8tfVFbvlhaCpFfCLwPGn5MyOOWr8j6qhrmUwGhUEksp5LC/iouUjkmHiGiwscTZp6rlI+BwxBG
mUdd4QaZba8CpZ8OeaZVfuYoDHAQBWbBIs83WHEin8ipZJf0vQ5qakcmmXOOibOvJAPIgdE9E3qb
7Ax8ZmdJmOsPUSnN864V9nUxa0HuNm3UrvWocT5qaOTLKRvFG9z6cBm3c3ynkOp3Exjx1OJr6q1d
hxwKd9Iok5+rZnzBiZ+uchxHxjn5Hf22AYE7o6abY9YNWoUuO5S4zGFW9lVQ5eddT46xW41W8zo1
w6Mqq8p3bGWOvNRQxRryRQMKHKJbK+SNJ5wadg0GhNGNEjncho7dzm7VCmNlpKZyKZbS2FlyMm8A
veTlhI/Oo0nE9YEb8LYqe5qBpUrH2lDipCOTNSoKNxps+OATLJQ5U9LSny3ClQQ42VJYqq+Ts/Rv
RH5XfMZLGocUpKGxHkfclS40qFVj9eFjpGkuaDryiXsZFP7eooVzGHGQ7J16GLd5Mk37xFJQzcy4
wfdVy/AqDhX1SZvsyyXsplvQ6tybSiXbxEUQ76NFaxlybNryCpNd+pwYkpA/VRWGazR59xqKIXyu
4DJWKmDdCodRsOGvvDI1J4Dh08Wqywt5wEfOxa9YgDYlo3OuFBwVbkGTu6ULRRWIvUqalzFvI0iT
whOMMLFLDF1lsnwAWCqT25Ux5CsFgOJXoJRrm5iElcCi/Vi2qbkf5rY/g0YZ+RysfjXGtJTKxCJw
V49S3kBh1yuAimlF9qfkpC/3jmp+5qPzOpMPv2EDyzggBWWBTVPY3O203t0iqcPrKMd0x8pDYR2k
6j08ry/TMr/XzEp/NGut3w6w1w8j4NVD0KrNR8r97jtKwpjlbnkuHPXekNhp3ISpnTthlme6HC8S
B3R4aqfe66dJrlKbvYLbKmrLlTpMjuH1TinVQ1OZ1Q6ql303SMUe8N3YLl2VrLRGzE+xwnWqLqZ+
mEaFBkEkgzcdT+MmZFra6MGZUNYvhJq449Qv3hSZ730fBYTV18qaOZD6kWTt+FDhW5sPfaGU15Lc
v9uI88vkxWBRH0NaUS4aNEyP4MisNtjKkpuiGmXrws7ypvI0X1uJyUzG0hCUxrR+uBOFjH3LaSTP
OsQvWTyYwJ9Vs9djGu+JDQgIwR7sRhhg8MCxAzA1qxmulrhUk+PIRSrbCPO+taxGYkI3VUCvU8eV
i9MmnXeT4+ibWPD7JzWzHnMqwXgVLLNzBr4yk7ZglGtD663nqI41BqTHkNtkm/Vuns3ctc2sSo6h
UUI3tmx3SdY+OUF/tljq50nSXA1aoL2AvVgXTh2wPVa3TLMwMXYh1l7rYTPnmzGOl/eENADXiOz7
vGO0gMLQCH/RC82H7B2B6OrWnSNj2oAqJH48Zep9F061cMkljfy6GRqWpAHw1tSrq4p2Kk5O1eH6
Jh6iu0WeWG5h2yommZNuBv4hjmoaITWVvOfLrCj1M4wPgasEoTwzzFC/6kdSy3yza5jr4liOciPY
qi8NrRg/zfQ1aJlwP1aTZAbcEskLhTbjtolTyiKlOANAck21ln7TZkQzQcFsAJ1rVhGdM8aE4zAX
77MEWgIPK2AZlTkrvBHZ1a+G4NiNyXJOQXjo9OEcE/GjnT6Xy/WMX0c3O1S4Qk8+ExGep2kOC9hU
6pUlgvqJ64vNS87dBeBweMhA0h6ZhYedKwbkEJ7CPrtxuKOfFtGOdzJ3jCc4M/EATVp70BzmrlXU
ZM9OQLBGFiieHSUaAEeWrwoFkiBJwl3XJLHrAP24OLmjqzip5PWMDfJZRNVCVzjMdxhuAm9JJOMb
ilRkW9tuxMJ+ak0EyFL1VgWgo0fmXLQNTZHvshNZSXrQ4i2KM93oPcNmhVIumzmzzPVklcnWLAUH
2YhKFqvOvBpibdpSQ+IMMZFaTTJ11OBSZEW1M+t+WjNb2sQRo0V3Dc6jzaB3wgPrqLe22TjbMMvo
SZQxTEEcqP2a16D7NZkKq6Hqksd6mEXodhPAKo2Y67BgEXXbUlnWw2nDtSG8N5qW3mXKzBBJXKeb
NKgoyNJoWfdWwpmfgdS3TgPGt/QV0emsGejAc0aiS1xiMe4yZcQu06bcgWmhsmCT4QOm0nNn8VJK
r3NyHjF00K9zUBj3cxG3nmIu1lsVFsY2SlkhAiNv/baTM7dKnG8ZbcNrLorG1ew0wUdcspqNYz16
YSr8uU+DA+kswVlB7n/hRK8CYSZJ1V1Y8ogoODDhN3X1dDJOGXqPHRl6xAdAp2ZimfcofIVP+XDN
udzTnWzksyXWzJVKkJ9F+Aq9fMSfh06wrOJJRByTYouzuZ1mhwjfOx9BgAu6KbX3pR8SCoa2+IyC
cXLxHsQ725gVr1YCrQIU7so9YxvSdz0r01OEQnNiKvTg2sR7c1ZQaF9yVukOJvkHO3WG+XIFKPR9
opiD14Vx9ZRD23h6lZWHBBaX81+VbKtRtbeqQRa/OTT1sTCKdtvGo1cBj6hTYmUudu9lvVgJYSGd
Ztx1HNcuOyWJ3GKwoBdytI/IUV0itjGpJOmh1MV+arezzefZF85TW+NnINbhWi8GZ5OMVnIv1czc
1WmWHS1s7T0ypNgFY3IZIv//WRdd/7HraZmno7AwIZg0S3V09ec5CWNSMITKNGxmaJHeJrCbveHd
lCjworAd12k4/xrZFN6GkjhqvCPOWPpRVClXGYNRXqW1VM0qM0HL5zhZIDhOeiWaDk4mcjMxymnR
YiouSaoonKrsgWntCYFwLqW9j4mVr9yWE6LyW7v1f1q1/1+kxzP5RP+dxHPqAf7QnmMVe2l+r8H/
9oDfJHjb/gZiLeAcdVXXUNy5DH5rzdkGTTv+swSRFt+bdn9rzVnfhI4c6WgI41LHUvx3CV43v/GI
kwR/KjItNIl/RYJn4MkPMIdl6qpt0+PTTDZDh6fknf5ejKpJbG8LJzcoMTTzNgnNxe/nqNgD37f+
kEz9ZmCAQ5TmE+0s236KrTw/6rSSarfjX+amcDQJJW2mD0kUxefFsMgzzSmIvOFMHDlui4sDx1Aj
JWLzCJw20r07BmlUMjW8qwumu81yE5LI8EDboeQQZnUPEbshNTqH9wtpKdOlaocYFZCoPLMGrmVt
0PecVPTrvh3rg9kW5X7WWosStuh2Ie6Gydd0xXhQ5KKbh6prk0OSOUbrxrZZ3KYxkvQujU3loCb8
Io+bbyDfVA6SRJE8uJvKBMJKKOIgnXJ4BgQhDiRRsHV4tTXH97i71LtAzKOzBlvjuQ2KEm7WBIwh
zBb93QkD7F5k7JT7pgUpFxBq5ycHNxPS4GWPap7ggWhKxprnpZVj0pVGc6VUBBS4eR/PV8RSJOsB
PzQLqJkOrpr2Eav9IPL+Iuzm/pOoH+Ua012AWykOxpcKvxXpI0ow4HGne4KKmwp6rSo5MuuAsRsS
u9+QXrXLPO8kuQzrfgZed4sar0o6oohUvVUeCUkRu0TTQmZloGByxE+crd6LhgFvxmfUZRxRZCSA
aIvMbLaJkta9W7Lc2N7UqXy7oK56ii6Ux8+EBaR428l5YegcJ3lLs25EqVrrwTCa97nL4phPI+g3
vZIYb1WqjU9aN8i9UiUoxBwFrqQ963ejWTRneAYT4UWzaimUt2qirNihOXCnZoLuZSVS7PsQG06W
Ts4FuTjVqhZpEXosc/l+Zm4sUVXJuBd4yK4WgVZtJMq40lgVn3PMIrdMIeluTJUpVlvmHqlX8aIA
vdq6UPG9i8k5V6UTXVRSJVKHBmh3JhrbOIra0neqRtfYDYKy39GE0XPEaT5SGOI032qKk3DA7EfK
BmeYjsHY3uTqEjxTa6R7JTXNJ6vJ5cGinNyGeqPzMZWac96wWquusOjuEmtR0+4oYDYhNx12SFeW
rbWsNQzQhWu3i7Frh5aJI4ZsdUJRh+YaLW7BcZKs1DFWfFHVz1WVB3gDytyvKezva7OZKK/KvTr1
CrPYg9IXs3nRpYQsWILMMwchJ2jMh4CDRd7r7bosrUaebH5HBNzxHafCm6Y09Xkumxuk2U8nbgMv
MLAbOCiNVdUixZnjRV6HvkXHAgP6ybuvy3UZyz6/CETOVS8ta5LrEcC1wDHQIlmY08xRt102ExFU
nWsmvdg3lLqjaowsCHnE0XLp8qONvLziNhzuCnDiM0Ul3wN/EqPCTHDlq04GQYjV4DSrbVEVmi6h
MtnPfYI+63bopwOXaxi9pRxPsekiaEyrktQWZ28vUxRtjJ4Px7VEpmCPtkdeJA9CaiiNsAu4E8Ze
OY6iwwwz2lb6HhtFj0UAXyVBl4LLops2eF7MjTqY6soMazI6OMt5w6iqmzw085joiCC4s/hovb4D
aB4rjCkAyHnjpxFZVVDUYb0qkq5fYz1dzoA91Rs7aZZnmygBw9XjZjhgkCx3gKjpZaDbwRpZIP6s
4jHoMGGQouCSQsO07hm3LbIBpduik6BVME/2qTIzdVsjchEigZyyRQvE40AYBzEhraWfNRLnsZE6
8dapw+bR1BuObc2MbTYAS82rsqPyKIYbNdOaR4Uorr2V1zMuk8SyNm0P5svn314midoPkIhm/xpO
Bdyl7mwZB3vQ0nQ+EnKSPTZ62B7CkKn0S6rc9NWQ7pLCTq9h28MLSZDOBU2NfGMXhXFZF8cq7nb5
MMyXahfHPvbj4c5xjGENLVtwfJysereklXKutoVaHQyuposRb8QxiVjhvRRMf4+P7ClAXH+ymD50
X8d9ecbHnF7l6WI+d6KAAqlBtCuvBq++CEkwOjLIAO8zx8bWT5AcV7SsHQ+tTj+L8qVY/DFAVzed
/pDNC0X4wtRelzbWoVEGnFhOxle3jGTwZ0u+3ARLByQWkHPwYDsU73MFPJlHprG3MlJ03J6euNfK
hAYa1q+dRsw0eRN0pG8yfMPr/vS7rTg2LjuY0HWYp/NW1yr5po3RvJFByNJn5/rsGUVWYNXQJvys
KNbK0WpDgunNMNsMI9t91dT4gDRJFkw6XkdOezpBKYwcs4lj2DnLHJInFlVeHATZg8JM5ruOWva4
GCrru2bV+r4yA0roIjK0Xaga7+2spr5KANMr4ayMm1nKpLoj0YCQK5PSo/CdurGOU2UnZ3Q5Z9tt
WVtFlL/Q5oq5jNPkPDGb8MKoWvykwRJQtyNQpc8w/pDOJI0YymoOi/LKMm2t2411vNyWkA/0+EsC
z9S2kfew3sMdw3Pem77kOBoHLY7XMDMuLKcNPwDUw3UhTxLurE94sFviFRig6UDtZIZ+nzTWeGux
1LwEE+MqvQKqloC1VMUUYSWiurPmJPsgJCX1mD+Y+cguWDZBzp+iBFpi2yS1cdHVFew4i+gUouPb
JYn3SyWGRycIX3HIbLm16H/jb13lpMO5ZFxsi1q7URe+5zkpx/0MBy8yWbsqoLtn9+OyKxJEKtz9
3CRb5vqKw0R38mYoiKtX2l4ni9Hpdhz9KToEHdBXknjOCbjji4JI3OmcYzZ1wmZKF01JfMIKMrRw
fbwKA65pevlsrbnhEAgYjHdkIhFMuzB8i+yo5pID/XSXYnRG9nOEm2YFckCbmSurFMqtPVmryURX
JlTDvhpbQo+akc50bMTJgzaTSzY0ZKU3Q1G9kzORbsaUSKmQcmuLy9955OQ3XwSaLN+BOKb1SGhK
4o44wW8aE4oCnZvCRG+3eLyjY1T285q0ovqZDPDlMGml/MSYSs5YIC4qlL9DrrDdF3qtvc7FzKSH
GK2aaKGhPXWOByU+ZLheyBRs0+kzCNTxuMxJGPsTg7DOZ9mwkIxT+UrmkL4alRbnJ1bODRxBfCnJ
o1uTDeasrU5L10tiVWd94CgbBhfmnhaYkumO03sul/aSVLzz3ja6rUYohz9rRCTaHSNyrVmmx7rj
MDf345GiE0jLKcyLbNCzbVCxrJNQwtgbZk2pVnycO6BKvM+V5lxYYdiu87I7JWOFsXWNVlAZXl2p
2pqO9YE1Ecu3niXRbV6zrrrlPNF5Ucc+oYxw6uVgEY2wZgq3cm2rRB89YV23rf0ACLNBJCdctioz
85MiC1uvMHLtnk2KrtfYaR+WGMN6v9A2qU8CgfM+9LamrZeG3ag1h5E+rrAIZ+iXM7VVzki/FdcU
k/M+cTiNG2qbMhk0dqjmyChw6YvEMzl8Gl2ZsRHGbZZq4ZZgspaS0gn8sUsOhqjkOStCtxKIPEcZ
6gPm5NCIHyGpaYPmCrHD1JnLedMRO+9WKu6mjMr6piSe58j9KnpqL9IJmnoerlKFTCbANWmfmYrW
0SiSxaJjzDRVnzgKrfEnrchuFk3qRCejfD8VaZQfjZYUO+8k4p8bJRUKySooNhSrTA6JQlleIqMI
6bV5G0gX11e8eCkYwbIKFxWjPRJT9IBkqR2aCpGKZEBT2YcWJYbZt7syzfLzARdeRhRbfqYP0rpi
IKCJMmwx48JL8iJ/x+msvYZVb+MDT62nPtL6nW07WPAgjtLSI4YojbygwJ2B5dUG/SsYy+0rZaXV
6MGjfUtGE2EnTdrMq8m2LDDoUyBZLYjHcDKIEIbD+ErkaN6cBM2GVeuFhmLnOjpu0Mg2o012sgpN
cbdhGvClXovPWhvCbVCUym5KAgZq5spOraKtKeLzpcROPMgq9zNQmRt1bIhmI2RwEwhGI6WMXPIy
kyltpyOGZeVIe6jy+L+LktqQV7KXovhEIcJbECpbXU4qRCUFN0fkU7qao5CHGD04zZh5OFduSdCe
6TmGdwplh8txcFw3SXfB6Zx8yNE+M/S2ph+mbI2YNCgOI69KYBxTkZAAIE4OLNw3+E+fIZoOocrR
TLRY6TpiCX2im2Y3LaNuZ6WIjPmooQLLYPGDODfwxA4dY8d6XufAMAKJMOONEBckrBD5Mr3kQ+23
fbQlQiHymUp8sfRWegmsw9zaSF3OuPfMDc1rSM3RYUjaODcElYLIobq14XVQ2enGxKfuhTVBmLXa
k2lqxrTtlKowCA1uU4pSZR5oSovgCpu0FnhkQM0GnE9v164FuXWUc5/EXp/x+dpNZhHcpGA2N8xh
aypWcN9rev/IhPsq8aIo48CSdDI+TO0pGGDRh+EqU5Oc1IKwcu4zM59eOiMMDi3GOrFtgoruRyoe
w7Hqw1VHAEji0X4epr3KLPBrWYVTDnli4JbENuSycagP5BFmN/jKK7TzxpTqRkmzdm9ZFjDUYIMJ
4RStHjC43Rgzl6La2bfkwokDCwwhSZBF2ykjN62ij1jLUa6IUYTzaZ1VpanDhz6TrEN1qtrnhKug
HOLJRtlXq+xptm2Jf26mGVQ2wfDMnRV7sagI5MjzaJPLSW4m0uROUm+/08lS2CeLPm07G5XAtYlC
WcV6Ux0Iy0VgILpvvA8xND+VZEduYtn1ZA9YrXVnU7iY+KiIXXeDxEh3/0fD/guAPLrVHwOxXvRS
vMfhS/MjCvsbWs8jv9OwsPCEnzqm5cCgm/I0v/TvlLyFLUOl8oKH/xqZ9zcYVv1GKJvqoNTaIPZf
8t0/YFhpg9WjqdloXKr2L8Gw2skC9HsyCk89vD2Ha14FdJj+ExnVY9bNkYWo4cemvsvr0nqsLS08
o4BhBU+cZnrqFPU1YLv6sEnKfgZsB+oegHpWZjuWK2som5UlFOex0YZyP2AK8jGTZ+8wPP3D/12M
/5WL0XJUQzf+qRq8ISWpefnB4/H3R32/Ds1vpgWHb0oig3VWRJ7vt+tQ2t80R0B/68DQGDBOYvHf
JGHzm6XpwnCkpdsnhwcP+ptbQ/2maZZhq5qp6yjGTN/6F6jsn9sSKr/BdlTmcjmajiT3k1nD0eNB
thllfSewYrgLeuFDxF78Jy6m/w/95r4xsYVI5/+Rd2bLjSNpln6h8THsDtwCXEWR2hVS3MAUIQX2
HXAA/vT9MbtnLDOqOtP6um+yKpeQRAp0/5dzviM9xCb2b99moAvK56T2oOUU6rsyhL/zDTvp2aEV
ap/g6t3/6UT4N7LLf/2A8R09ZIdkHLFGNv3rT/QnP1iAMZpiL/a20lyCirYNUH40gYbD1CTtegOc
MHvyWQdCb/cfp9kALIEnEAnDapt7owvyG4hy9o3ZKWuLeSK/CdYS+SgQ0FtzKdp/iCX7zYglUZD7
kFEYpbucCRL5yF9/XmQqxTovTE+LuKk+Z7UWESNU/lrA+9vkImZqlAAJYqbdfPZMrz6nxZ9f1yRn
Fwtw8VdC3fBSI2OAg6qbX3//dv7L+uqPH++6wMBehMHA/21xgNPUaHNG99sJ5/Q502aBZsJt7I0c
5vS0MovBD2O2zakc7WVrCCM5jAljNn5m/5CC9cTZklR365KeTLM9Gql4WBKG2GFMe8GMs1PFu80h
vlcxVEUksc2PKTGLfUUy9+Pfv5Y/oqn+cvbyVlP94o+ybcfnf//6VvuZxpA92e62ncr0dmW2G81X
ePiGaUV6M/fZVEQVSqitaIb5s/bmJgYLVQcQdivMOosXiAd0LOO7h/VGhORi31aFcN8WOsVhcM+y
h+Vdy0xFshTJHRBXdRybFLtckr+3bpey1XbfAne0LyPC7bq+8jEzdWhRHByLvvQuOG26W6zYukWF
MUMhtEB37VK0RSGltNxOq49rHFf9GW1B+ul79CGhCQ3x5Hod40PIvEmYchqxNjbmNcwtEYybBgrw
29+/l398cH97L5mQoKyQJuAoVlV/fS8hXYJZGlZ3a7LvvmuA4oDfm41bvGl7cGy/RD4vd4Ssg8oH
HYlHcurL+ZeHYhlBZzeeSQdUVWh1lgTCXZYbKTo403UN85fyvb1v0gZlEQPv5ZS01foZTLPJ4DCG
4V4u4s20i+S21TDWorLNjHBNjOXWL6Z8N06e8Q8PDifrb5d24PPJvF4J/lXS/Me//9OZ0vpGq4Bk
eNuh6NQFIR8EAt5a54hgor8XgIx2nWlamGZL/dB3fnKyW9egh0czfzCBprywb1m/GJkYP//+9/Bv
zlf/eoRcl4UeDN7fvLVlslaqdGeXYaUFTbdvfjHFPDpjsWxAUP2PYm//OKp8h0EbtYvtg8X7zYLc
cD/M/nqlsGL4eDOYIF0/xfk/hLxcf+Tfnqy/fJffPqUlkk50AyDICjvLvgw8Ybcrqi3AQCOip79/
+64a/N+/F5Pj4Hqj+uDjf3v7eCTzFi2suwX0YZ1sUelP7XXerYNs5dFCtMulQbeLl88w6nt0SP3m
73+Af/NkUag6AV6W62bW+f0tFTNrm9R1iUOV6tXE5BMusZb/cAtb1y/z59fp+piNDNf1OcJZBcvf
qk6LI9dfy9zbKrd/bAcrIb9h3eeZelhw4QbZ3VLbEQ7Nz6tjcEpLcafNkg2IbvxNboNRCqaJVU/q
sKxjCL+XCdMDd3kcrBYW0ZoC48lY3RpTemwdmrCQJK2eoNHui7lb9Pdv2e/Ph4s09zpJRloRXOsq
Cv8/X/Da0SwjPSxLHddOxEzeD71VJRvtNf/k4fiXtw0ryPXiYyLEkt71f3s8Uh1bpFSIYCtLL7mJ
V8ay0tDqlPR1ubPZaR6uncM/PBKUgr9/qj3D5byhXOJklS7l2V9f4szAyarMOd6qcn52GQFt7cRH
IRYv8xtEUHzu5jI8Qms8gkB9l0Gd7+S8Wh95Aux/NNITtQ+DMF8i2/Huh7a90lfsqzG33Zfkd+B9
zd5ja3hvlLnPjBnJCESikHA1RsflyEpsXo5uoZBvyQFGOFgZEJGs5jOkbjDnwHxlxmqgpo/ds9/E
yybp8S5ZotzJZU5RmBLwYLfVw9QhDai7BP2Q8YilFM8JN53jP8Hgme609+G0+rM29HBX68plWO0m
bwi6pjvR5dYOf0KyiTVKt4qIEcTSMt+XoEYN/r7M31dmwptlyuo0CpZBIUwK+r2TOgHbrdF23pfM
gqBjVM9tq+57fz/xOrM8MX/GGQQiF2BbSABC9V2SW4CZAMryzu2KYltnQcsUwkWstPbVxeny4t5c
vJjJa04yJQBl7tx+sr7g7frniqnALjMTk6FRMcdRYCqSYmbavE3MLfWdQfi8zYaa6IN8jdrSe2Im
0WxQz+Jaq6fJAewFXvgE1MV5iFPVsfZhimcbqIwX/H+1Bolug399ht8brgsOqdUKfq34RIp5emZ0
9JVTXb5mFooJWyM8BR3+rUq7m6Faht3A3vEcMyp/7fLcflAFut9wbZuKr1WiYwg0GiS7e6gC/bok
jCAVGtDD2PaAkKcE0nrhL17EkFXd9ZC79yZpzfesMiv48fzapp4WnGj45JevxmDPunM4GJ3fPgyl
b77VXVt+w560Z/XWYODOkV8DJ2sfGArBuFmY9kMMxItAMooCm5jo8cGO14msH7J1OkCAz9Bp233b
iOIi2i456AUHeUGhdZkQdaEktYwNOSqS7+y1l5h1/raYFwNXk29+IFzrjw0Y5wuDnW6T8ts76Lwa
H9Kp/EFUy/ojv77C2YB9ycjo3kicvW6eDXQ0RF2sd128nmMhh31u5PMRx0Lzk/zH9BnILVpPm+Rw
lxH5hi2YeSPw32zGsRs3OtAM5pfEfcCglF6KrtEbo13NCCJV/Qs82rITyllvqrav7mrX/0o7972G
C4SIhpAzlLgAT74xampYh4BSg2hUUtOxx5qGVB99FGUhGXff+nb4hsN9ylHomP2PsjHH18QvvEMV
dNU+sNdm28asS+l8htu+6uGbIVU+5D300B45KLJyfijT8OpXp6/FOeOn2rAa4j8u6kdO2OXQAaw/
At0jwMWrk70l59t4UF+2i4a1QWI75AEa+9qwlyjPUv4DkaRP6Lr9rVqU2BW279/FA3BCiLT+kz2t
PwZsF49lP3t30OowW1TsVR3woceycu91a9gPU1rxO2EwjbBxmKcbx0TfGuA42aXBPCMYt5nyNTh3
coUJxUZIl6xXNWGs05fRTnEf2q0+GQYRQ26DE3h1OR1dZ1i5IDqIqWaafwxE794qaHmXTMflg7vi
D4SUVG1F22PwQRWMRf69S6thl3h5vXEEOv7RYGmv0H0voiKjo4CTtYrF+kncA8pzn3DKLkiNTUaE
x70lKuyLMa0dCuzKebXjDpY4GqJ+m6b1xpTFnRiN6TGJ15NZKdaMkISL/BkkQc0rbosH21jw/6wZ
5me9lICZcyp9f2ainA+WJO1I1/lm6b273gKXQzaQPnSL/WTGS+TWjhVOUwxjmzyFWhO/DFTtB8zj
U2q6G2bzP5BvghyvlbOfWw+wuTCemqLdDOmizrWL0hmkbN6FLouttxF7FxaKuY6/J7RnKkyBxSNX
IHUibHV/Gs0R+XNlb5ehSC4TTuNotGYzAuqrYReCZAxF1+MAyIJaMHyvnZ0XOCCg5/iGsqPZN/lV
tmkLdS9M9AmZUdfsAJsWYPDQPDpe95AW5kr8ciA+kJ02H7o3ir0ZSxRayKYYETtYkuP+iqttmu0A
eRx9GpLSYPH1PvXa9INgLALJfWMKpcfN2TMm5nPRBgcF/i9ibUM7WK7+ht15dWxtN+Pod8lC6Avj
XDL93o0dh3ee9Q+9+QuwrV0jsV2HZ3+UpHaZaXtvzeX66CWFf0KIsJ4kitUTa551C3I0/lbrYH0D
2t+yzirNR/ix3R5uHHchOLa904/ZdzbIOmod6P6q8yUsZcM4ZinandxOuG5TxBD4vjcLKMJ7Jjsj
op+puQWp7p5GNbi3sQ31PI2V8WyhXnoos9E+9sPs38LYAAgR5MkZ/ib/bwjUpZP5J6zr/BkdnBFl
V7Q2j+i2m4YfeEDSXV1SL4YS91sekqAD77Nsqfu19NYjyKatLfqbdrpzDWRDg1ffzSVj9qRd/DFC
pBBvxeTLs915zeOoM/fTzbrqTVo1SnfhvK6x424wtnP9oVLau/gIAuw+Y743nKAOheNVN7j5Pc4w
hyxcCdEOPjHyL4RIT8JFa0NhWgZqJ1s3xf0p250BMg8RRNdstFPx4McjxqXNUnvOMU9Iq6p945vv
jPLe58+jjxfioSZO5Kyz7hM5lbklT5nwL4RE9RPpExcMqQc5OL9gRN4khFDfg9r3Nsuqik0yp/lR
2bzPCS6kiKwqYuWkcx6SdquSmNyKPt5hlZ9bBgTEdinBXncm5e5uHIfkhRbTuwYyZeYORZOXhnJQ
eH7tIH6VvTQfq2o0ztY4tzc2epnzsizD54AqqApVl6aYv/lhhOG4XwSkBD99TFU3OPLzLaYN42xi
/8AOV/fo5yn6MBbmNgl3i71+WMEgbys1rAK9VIOzMZD1I1bb+ph2ufoqET9NYW6L9oTxVO2HprXb
UJoZ+OuYmiSHne9vGpf7WjH+acLKI2+KuG6Hq3Lq4menNSd++cB0wwE//n7tbLekzuy8Foc3sRnZ
YJWvDR7aNyRSJeEfA+ursE3TON7mk52yWG/y4AKklMSRQswbm2YIeHAs3Pek4woidbB8x64u9/i+
BXs7QKcs1argHJRdyw8P5aainskhereiI2+uE/pugXlKydQP7V27psM5V/kj2/sfjsy/TZUz7SA2
WDd9EieHadJvYBj5QLMEj9a06A+TrZst6TsI8K7XjWFJpFVBr7vriAjyYEVgSgt54Naye1b08ZTu
JMTDm0rAgA+R7oM3TOddzDYxJz8GMd8AIZMNYYXtoM5PYsna13rRpyn+1I589GfrmSi/D7NLj/6a
fHeL4S21HOdQJaJ66GBBHwajBnxsVPK2VEQGbcomqzaNYeJwbWDlXPDD9mjxQJhWpUAeLkuLOsl3
4Rq7/fgkhqLYEFeFSBZn13Qp6gylxDVf6YNsSZ+Mr9ma7rvYTR5w6D3FS2Uf2G3W77DTNYAYFHoH
Rkvzl8ohj+sKzyzWMhbAbSsPRP8kJDpx7eHAIuMBHhCeTMeLSZSw2z2fZB87S9+wAs/ngzJMVvAN
vpnenPwtYX5kWybBjV0X2HELBi6EQ0JmUEPWHqVbz68smbl0fF/ZXZglbht5jaZnNaA8YYbxsl/8
mXqLtU+3QDOEx8Xq9akDQ2gQN8XsQ6RFR3onWemlGLDWYttbQXWrnFS4YeYRG4q0Qu7zAGgAIsXG
jkzc9rt6CPwnsUgaBsnQ8IWFdPNOw26cGFE0+963Aj7cU4DTV6CCivUDaR+RCqoa+nemd4s9Gh98
hq3tas/xoZh8fS+UMW0XGcB2X6YefR+r3rOR2nEeGoAMziUQ8Lue4mMLkZVFNyG7+yn2s00G6OVU
Jf4LLOkbqxqaH6RRZfieu/TJUaJ50i5I8qkFfJVhE6OpC7wHjGTG99Qtg8epsKyzJcEE8CWTn9ej
8HuVNOnTNFeYtihyETLkrhXCFQxeYHuNz7JARbCZxuwnB0t5SdW8vMwGbgRQLkWzM8nH+A6tsuM1
pMUhTXx9W45ZcjF10j2ofmlukIjZxzaZxktmVk3YCCv5lrVTjJonqfkAMXuZoZmfKgq2b1WQ2Trs
p6DcU/O0SHwV4CS/WoJDp6SC3jyl2R2TQfVaOEwGF7FWN02ghgDFLDkaxpBKxim6Xw819drJK0fv
azY765quQpCtzaP6AMh5rdNQzHhcXUl/TNqAMA9Fz1A2rLO53CGkqg9pPeffhqHq37vcMcytbbA4
CJtOGyz1kzl/mUw3ALq9mluHtGxyHqqKxgavlXHbpSq9CM+otyYo+oOKexUKGytNvqb9PddkvgMc
TnYpF3GC5tlfX4VZ1y8iE2Ril7676VqNXQtD4qWQy4OMoaCGPnHlh5aXIECstvUv/tbxotkpKS2L
1Zcz3uuOXceS+O6jSFE9EchJFRJbBUFsCNNezNFkYGqgOkPeknU/yzZetkor685UFaFXgoLngslY
fQBNzt+Jgqn7bWy64xXo7szZI8yUcV92NsXuf5KnG3jhYZ+sj7xQRugtNA6aKswGXOqwdqRXHQpb
GPZrFcfDL2XlJa01k8P6xnIqzGg0Bu58gnzjEWkZm3IFBlD0+MeTTog7xDMgrE30Ile9nfs2VUt1
QNZkP5baDg6ZyBBxVKoZ0QB7QAr4tLutv6XPnBHpzR1HgdbYwzAYB+muqsGfjo2iuJXab7eQATCI
Mt67wq8zl0WVjxs3dOcO5QuKbNCXwfCSKRcIq0AtO3cgswZIFr90G2Bmpfeeb7Roqh8u6S4oVInG
ilZuWPC5ADZuK1npb1btDL/gQnpnQ7vik5fevU8xMrqQnPXxhquQY+DPWG3SF9bLgIMHcToQzp1y
lXHLNCzhPFdVOW+UXWboIJr2LlOBcQHSnX//T/K2nDv/R06QCtN1Du5vnekTlOjb8ykfUzA1AKrr
LrwGCmCNCppNib7zjZUSnytVZjR6WfNUq9i/jXs3KXbCt3+UFgOoK77bGR2WJ8wz91eGd1HgjdPo
y6hntEges1WWz8u0jDvbaJMTUWzmHYJ+weCjn3psiahodmutx+Nadda2FVk/Io5s+m8g19Qh5/p6
JRYMXbPvpx5mtNkcbnqdFx8N5dJ2npvxwEc1QVU5mfdA+oWHaHMk+nWxoNdG4zLGdbQsazxsSKLl
llyUPuNyoDGgG/5huZ1/ZLqanCy1fA2m+uoH8WLQAoRlThiobeIn8Rvb2TkzR2jj1tNr3ybJDUGF
wS3BQNmXkhWudlJeVkJZA26GisI69IUlYT045pVJjiFQL634InkB/Ywn7V+D5c7Dz+u3QNruzUDh
sCin7tazFDZJrTJae4915ko00uqErQmVmRRTbOFrTAuuX92+J9y40MRmIA0i5hgi090Sy3sFFP08
cga7vKwYqgfc2zCAkHJSY6eP/ezAJ+7Wd4OvgiFWuM6GxqTYe+O6YCpO/GXTr2jNJ+ZwyT6orjYF
f75DZme/wZvllXMNh8wXxyM7rmbLdMl+5XaKHJF2gPbj1b0IKHMRtQx6zrLwN1foelpX3SlAZxnF
qGQ/13Jh3FZNBIy09LpiIbbU7uYRI0G9yqiBc8lbaLrHgZI2CVEpWnM4LlzJY2Ete6/XYt8YAzrc
HktEmExWexksUe8MpyfkWlqJEXLSmU8tboyfjDJAncy5j1VH5MsRZ/9jFffpPRjssAoEbmrpTfY5
jqdozHkOV28lvNj3iWvmNz5C0Lcclq7+zBObBqdGBW+zsOVrqj3vplh7nMq+NhnNVsvG5e69mXLP
Pvtq8jY+5cqbMr38hJG+iigO2q21qDnKIPiHThDM52X2cV9A51q3gZ2yrcPzmT5IgMw7JFDq1Msg
+5n0mgu4jPvIdlmjAUKoX0DEFM9JMulHIRL5yr6eeGpJYANxbVNnb1EVNlHpQZbZOPV4ZfdlJTPY
0oKrS+yhtWaox5yxPZoaDHlrAyfr5z6PrlLqOnKgnoeBs1TZfqaWxNbQICnNpDFjTnbjdBOkTkK5
tRKmlQUI/z1BIB0m6ZnSPtbo9dlC+zpah66tdkMmp8fR9I1DSXnfcJr6HXbFxYLoELizeMjKNb90
xMLc+F2F6LDpy80MxuZ2ceruMBcm7umOfAlXDfRAA/mkfZy3hKQ29yD17RdzicO6t75njfcRADQM
XZKiSUPxoPh4KdK5Td170biWZ2+KXWIAU+OxbQiz6mrbv6nWuTxnQ/FcpwHJUqVKkTta5pPsHed5
Kpr4iPBeb0WnnmILWRqBI/Mj8mDjMJVkaC/cpHAy6yvMcXqMhU6ePA0QZBh7b2dVTJkZ6NrnuXbQ
2HrtuJuGpg5ZhryDHzJORlISyRVXgM97uZ8Q3RHIMf4a6VY+V5SodiuW6MoAjxZXS4TjbVhkbXU0
rKbcdhiK9jIF749/fWx4wu1kq22dPuOH2Wn2sTauqKPJrmtrrMNPZ6j0KZln+86fRtwdfeHAOBGc
pDXzJ+SHuKybwhAdLnDL31ruXUcARtiNRaui3h0I1EYqmBL/llctWMnyBGUm1ATgBXl9UZmY3qvA
/Zx8kewnsZjHtcZSNPql9zAZfUTM162lx4MA2hA2Y+KcwKzfMftt2B1cQ9Lzh0a4xg8c6jNHE+2w
NVcL43y1nhiAvRDBw1jBkBGLB6zLOMkSNbVHGw14UoPjHPul/CTHPINg0n/XOrmFc2piCcoaoJ+m
lZB52vog96Qgi8OlBdJudpTWiju5CQAq48xmk0XpIcG8LUXUaxpkr1xxodsuuXYmYU3xtZ2A8bV8
x7DrIcIunI3deDTtV0M7Z+7GkEmh0Nu7P5qqdp68LqmnbQKNh5BxgRnKWfPxUK4rBim6ivTGFVnh
7ZFfu++9MkXyEfMP+Hj2rUffG5jPtiPR2s+KaVuxqm3B57aN6KW32ofps2NBwSijx0AYCyd+6lob
KT4ojWAP6vFIhPkm8XFudK6FILpWKE8PSursI5bEytP58khhv2/yZ5HpnJUjNKrgI8liDmITN2pk
dDgMT15Gf4JL3cOxFwR58RAk0rWPrLPzMlon9iMsaPPb0lXwAYpliebOYiZKdjGZjdyHnsEKgfM0
wONAYuFjPqviaRodTlvOjXpv55qZ5kzYIDqQzJPvbV1OHysG7s8/wix6J5iqcA6omwf6usiCv77T
+GoiYPvmeMhdrvvS4FdNM6joFlFiiwey5t8YFIOUtGZSp5dRgodxmeGji0V2isFJlxfPIJcIHcKd
nVvHoWo/UoOsTfZcdy73ewLByQZfN+SjeHJMAsNQ49fJg0tBcuaJS9/jLu/oiLtwHhLjVq4YUVxi
ApLVag+l6jK2SzAuqzzYqyr4rhL16HbLm4MMfwz54PKJ13Z3XNDjJn4y7rE+NpcAYWLk9TzoVcaw
kQSBq8jGnB65u2tuyIIpWU5065Y2gE51FM6ShKVW1RdOJCgHjj3gqU+PAOZwwsuYnslRBioTj61U
Gwzz0xVp8ZKAGbvmdDKkLt3ukiNgMMriPNgCks0C6ML0U4YUQxPHb/QLlbFFldZtJLlvR9XY4/fM
zImt6gl1OulxMJJIYdqk8M1YCwPgjEQ1JRx5KcGB5DrlSXBYDXMC4EKbx/lTNRejrN2nDk00hRbz
08zA24F/5n1IhLlfr0JgZqsL2BC331jxot9WSddWRayymGwQIQj6qK/e5tm0HxJtxsluGO31e2tk
oBipjs9OMHpva6eRc3es9SiJtBs1+RoY56UUBtJpyduAHkzk+2pI4jub0dBPelO6EJ3Hl0wlNYMK
3j/eSZFKc4v4unyhhQP02/f7glS+uTKNkxOIKxBMFS/V2B36qZ13bjW/jgPgXjKUXlgg71vTlwcA
Yet20qS9Gyta/Y3bu8y4c3FHHMa45VzJXsYG2oHjt3QmigctLD2j/1Xr7NJ28ioMX0lw7GGblMjL
yUjHCeAUkfYzJvBpu00tW20GlDYkR1kt6VZrZdHjo4aBleJmP6zJcltEje18IAOkfzPqgNmq53RH
N7e6TwT4ZIEtFg/IDNMoCyui4p9K17SWqDPH4lBAKma4RhiMTP3qxVo8tNyYlRWoNgcbcT1jG1E1
oKW0Ky6jnKgsVJvdsDlh5WBV5WHpAQESizJd7WnVrB/1ktUHhGfzNcnNtw4YsDA2waFnnYAb8i3n
VPypzd6MasQ1T14bK+bES5udXIgH4CWkuidSHC+CFdPINZY4AT8jocbvGufYw6GrSZiZi8tMHXOj
SIUC0kUeN9u0lJALkKHXvJrRsIgbGHnLI2FNr8WgyWD2tb/NPNXvZ9/MKeusoyfBfYVz6u6JHtMD
NoHROtPBNWHas1VUm67TD7ifCIoXX4RRiaiXuEeLa8U7ayt7RK/XXGCMTlEDXuY+19o78FGy79Hy
61cnteQWy4cLq0PX9HvuGFp6sKCfEUrnAFVihGYVt+icHMoyRe0cd/OJE3eJ8Fn7u4lTeu/ZQKDW
pr9uxrrY/EYodXsTswXatEUAFy2zvccJQwTmncb9aQZSxiFTPS6PIl/szeS4hGzNIo/KdJo3zJDs
jYEZJWwLMb71Weo+mTyfD2lr8iglJI7MRKQ+QgeFb8UeCqG+jXeSQ5YBFRRAA48S05RizTaAAqun
rGqL/TR447cu5qxrDJuF/lyjbAtXAghH/I/XBMuyNtksJRLalmzSn6SmW+8uFkuoejg9WCeKyEKo
CPjKJh9SBiqyDPCFiPWbKK/t9ZQKnysnaUBuhnPT+R9iFu/Ed34lStpnlOH3PFBM65kmRVU55vep
MKtpM+X9tXNwgEteAs3qGvPGDESm4fBMo7Qf1IHHuqN8tBmZzjAEj2aeJS+yM5BocxEpqHkBucj4
M6REMqCD21qZ8cGVVf/TgshkM3OPpT3ekUyzHmtjkQAqheojwELIZ9Ixix8ShkVPPF3Zt6JuzTei
rjHwYOrcJkQV7sgP1nde3ZQQCqDxAFlSrJ1L03hDdTm+FNpiMOVXuPVhhfjHtLe6CNlY8gXG0d+0
QIW2pCatT13Qtbc15qMdt0W59WQ/3JBp0tKPGspi/WL+0SVP0WLX3QnKFzEc0Hlu3DUxj6TsYuPi
DiFxu/TX3eAofWHQMh51WoiPIkm8V3ug0Ca4mXAEkQ7MYSUQ2CzPdubobUtrmT5F0FnH7I98JmnB
0SSWO7vFzbTc80SWlNRO/45jKP9pB3hL+zTRT1JaCocX/Q4RNqyPUTBsmBqH6Bv5a8GU5HnFuzdF
LDf8JTLUODyZSzVcnKLp3Ivh1+pmBOCMdknM09al1zp0WcoGncDd+xXGFZ2kV5mHwEzLbeuNaFRM
/PgyyOVzrGzrkrbkj1mmZGhTWjOfZz56bTKwxPQ1cMq+QkIikFCBdz6LRrzIWnzZSDufyYzuHpvJ
iXeiWbJrVUtAopNlrwYpTHfrlMhneynUI34fAvryh5lR687CGP9WNN5w75r28iawCGxzhCgnuyGo
dZLx9Max8uYVpX1exbU+uJI1ofNZp7ocjH2ZpNU9oVdFFLuq+FT4AHfdbBlRX6mMVsXgdEBgdaA3
zAiBba0RFCCxdeTuDt1e9b5+r5Kux6u/autnZQvqsaE1RFhSJ5/yzCXjDBr5oXPqajOAqomSFqt7
51ylETWwCIC17bFqoUVTFu57W043ADeJ3/JM880NSH9joKkAIXZZZT4wbM1OSuMFZWab81Xlsmta
ozgm5E/ct7IbtlUAkFuktX+aTEYaef1rZl7jLdwZJfa4PWV00F+j7UHs5akRxXifDh0oZiYsybuf
pp+olL58pq1RwhY7i00wVkjUOqzY+7Zrvgqod2EArLPOABxVV9dhsTqbtFK3SZ/czrJ5XSaOnUXL
DWGdrCvN1WBvjIdqxIcFkFNl0jyWqn1aB/OAYiiShkoPa16XEeZBFAhshQgDW1hk+RPjnmowSPEV
B210N6XtYIZdb52O6fdqemyE+JKHwV/ynTMm6JFbndFMTlP+XbZrvxMyyc++zIoncBbes1vTMTY6
YxReNeb+/+gGDG/P6n6LyzL5EGnqnGmBjZ0mMXpfD9nw8oc4738xFsi03auH4L93JR0++vWj/vgz
Gei//sx/+UCg/ATSMKR0TQqqP6GBJA4Rj/hJA2kh+kLCOf6/DwQEP1WFR/Q0sm4blTXSw//nA5H/
F1cJXiVGEjgc+Df/AxsIR9pv0lBKJ2wSgct3MXxwjL8J/AvTSq2iSGtGusK/Q5Y4yx24Ay4GTQ2W
cAa+E3RdHmvm70UIKRA3/4IEwEAKfYDNExxzRDNPgcPX2Cg4Mq/kZdpv1lzLi9aG85IBcz9z6NiM
fe38R5MJ+4J+aSEFt08OXoUUMvKJ/F6vhabzWSzamsKhY1nklYb1TLuKtiATVf2LBhpmBaSxZ0QU
M2WZYd1cuQT3Q2cTsgH/ZTOmSOmT1k9CysX8tfJdRsjCj18xr+bnnPD0DEoN40aqBqaUeP4U+tE8
Hw0uWbSNbuFboJVhHTSlH0du4nb0CawmL2yl6n02IN1zloJc724qtpA2qWpGZttqycfLxKh9E8T+
xk9R+7DOMG4BD7RXyLy4WUjRpjlI1cWhMt0p4hqf1GiMZ8YieptLr750ljMck3Iwtxy/6rGsMaai
qqP7LFGuFJN7iVHRX8ixVvtumYJ3k6YPNB+3WiItZyusrrgrS7s/uFdL89i35FtOo/5gssssMMvb
XVM2E9X29UjXErB+PwJewaP0Ehftr7oeScGsR+Ch0VIV87sxLsnreI1wWdN4eIYeGX8hZ+eMcXwN
ozH7IxpkZS2eHT1jQi6VsRW6ToRIGHH+SBvxtVy+g3WenV0RO9l97aMuytjmnQKRwiltUZRjKqeP
2RCvGWxW1DNMSYRN8rhwSsamRCzVkO6n6td/sHcmy40ja5Z+IqTBAcfUuyYJDqKoOTTEBqYhAvM8
uANP3x90+5Zlpt1rVbWoTVtvchMZCokiHf7/55zviLUjJZqEhXxVCwKq7NWusVcZIGKc9hHRqNjJ
FkML+8ffs86q+yWBWmdo177kRRzvSqMaXnTmxmHvB+OLN2XpM1l8aplb48Fys+acTcr6jSpPCa6Z
0dadje1Y0wgw63tq6r+SxP/pQHK9NN1Chkl7wPuoRtqNqlq5GlmNczAabIK8HuaUy4Q7/iGp8Qim
Sz9f6XbxbnEdHbAz/tBJBYhZefF0PbVW9d7RtnacUZOOlPom1x29AoxmRWjFOjrWRs9mHA6ne68C
v75Vg5p5pLr6qo0T5y2xO9cP82UyXvGkpM9xU+SnKlfqJ+Kv+a4iquAT0A+7uvf9M9WN/S4N0Ndc
5z7Von2gMK/cBmMxvWd22z472oYWXY/2W0NpwwkyIPWss00XOmzG1L7IEqQUvvC2uYl7ioc2EjDn
Ge8dcpDXNbeOTqEj+E3zEqF59ZukNMcjUQ8GC5MRYJ9FBcEBc87go0jxgLWBEumc0+EWhBqJXP3d
Gk1FpsVoJ9QziS3vCmvXzIrQqC8sPqFTDZl1my5+f2mqUYRDMlDVCxGQEm0QHunWbRr3kiNwTmFU
QDeIqGP75YPg/EXNWXvhCqe7HZL3IraONRUhreJYRKu+h5gE/lr9gFNdgZNEmCnW1vDc21F1SdXt
nDFbRHbmnFt7DX6DfnUuVuWNYV3wYB2jlnMQuJnp7BpZUZdbZYzng+1x41o8w78ZQPugb3MUv8Ft
W6ha0+4MdsDBtgDsPjaiHbZvpqEudX0+nYtKrgc236+2TMD/s1EZ77UxVV+sdl2NhhJbPyXrJ2dT
NX3ypvF2SNypORYZj9kK03CBaeYNhQGeaYIF44cwYR3krVCvLZj16oo2aBtl06jnk4EZtjpAmbQF
VsvU+Ihr3JY4TBvvdcQs5odB4bMxWmEFdj2vh7aKZg5GuD/p1hgqvR+taR4PvmWuuX4rMN5cmiYs
YvYavvEseq0vLu5oykwY1lE4WD7fqAI3b0i0igwZHvZ52faGyrrDDCQIlJzl1I+M49zbFUslLLFR
139QCoP2NrLgSM7os9bw2CSmcaarvtyPZTOQkh0TeFlZW86PZpwTgZdWPr5Rx0CtVJkyeG7UqGQa
0r7LvXc03LUZ2gG3GRUiwyZl4xWz4FZcgYNxT0IMjAI9OO7fHWjpF5bYPdd+8KHAXx2oLrluiwca
iqOXUQX9pQjkb0woHc6P4EFqbaILOLEEYVDU7n40y+BqdEb9kyIUsHNynNyfcjRxT66wn5MJ7Rqw
KsGDQywm7yFCXfHv4jxCTqX9VbBSxZ5HQSxWyrDzUOTzIhgkguPsKvgLZfYDbUCf+2iOn4GFo/mO
hewx+JoEk5TbqV/oMyNBDaUHlG8iHAmJs4tBzY63GXDddpuhHJ2TYRR87js+CK8NuJqneXBhbZce
Dv+Sjji9rUmFzAc4V9Mhwgb/Y4SJcKEChCZVenKzNKzcKntlWcP37BV+eeXKXla7ZWHo2MDu7K/I
f7UvILVKeUopqGPT7ZWKNBMc6H7bmT1O94pfnGEXKKiG2fMNwuMuvlpjIrqqW6C8lTHxiRkIYL1w
0R7PnKHi3RTD/AJE0D9RfDCzH/aWjLO3suVW8aWRCWo9vgX8/ft+gtOwweTGEtNxjLcWde9szb75
o6wGHnqTdg6A9IPneNFoxk1Q3Etbx/1OaWfaJYNdXmi8jvBgRbyyHLrDbRZJ9o+wUYbnaZIzxvDU
rn8aeU0XKwhJmNV2Yz86KXa7Daei8YEbksoOn7UfBke8shKThM9VAdJa8Z4ikTQHY5rweWTDTCYx
S+uupRijZPanE/yxrkwKqROm/xeiI6yJull5DxQ/JPGaDuGVnLJlRFOt87sgEay5hsi1+q3EB32O
hpI+oCxL7tWQIBr0NEDvOpXugP8WH/yuwDAs2m+eVT/wFJjY8Usploe8S1Z9yq7LbhO366yck4m7
N7wchorVGuZzk6FHb5dRetcTEiqCDAspQqKA2cdrDxjeHOajGw+7KHEGpOecf115Vo8FN0+i18il
4aNEECI8WfCq4rBqnsdeu/eDSgPcCym/9wyk752Aq3VZtMmJavqyf6CTuHlQ9PbyM5umtXc7Af1Z
0RiHr3Z2r3F52e1W8oTjneHM3tHIRrEXtRiRp6c8DbPFHLjRimTtmusycPsOXdKxX1nvi2AONLBP
lBsBvuzG7TSvCMT/9to0Na9QI5v0KFDY3/OUjiK6Afm24iAbngP0cl7fZE52nvTiT7AVxdEtxuA5
Rco4JEtrcPgN1k2+2NmlmB3SNSRulkOmMufIk5YdWunC2EdeAJ6He7oPriOszmctB7Zq0N8GnFlp
0v9EkMcPX1S9/btogvJXNGb2lRMZ8QciyozE0LOhApB1k/i2eZpZ0M+b/5Fx8P+9brdvJoVNnuzf
z42X9wqPW/eXufE//to/RsdA/uGx3jRtXzp/pcoG1h8BsyHXJ0daAalm5sN/IgScP1zScRYDpeC+
ZDtMdP8cHe0/fOZNh69oOy6C0n+LZWF9Vxj9KVbom67DP0NQLXCcdYhd041/ysU6OP8aw8wDQiWQ
rufEzLdxGlzJAWB8w0ISMGesn3I/qw6SmCpo0kX/gAFlPFYifenioL3Qw70Qg+C0ZQk4PfSTvBcM
Zpt84XYseDofLV2bDE59jF+ti56l5Zd4XoxT30XBVo4+PL68fzCqHK9ppgFoGzn+rYl+Be51d5mf
+T7+npKmhJ7r3wYMuWRtkgbLrnGotQhmdkE6gve4qLm5dJnUyDPtbG5LQgisQ6OMHtSc4wEEpXMM
elyxxVgmrzisf+UMX94uHuwWtT7NfqZW9qHwWh5TKW8y5sZNDnXnrPxy2NHBhC1Bzr9Ng22ZHKv2
RtO0gpksKh9Y/7aXIHeOM75HdssCKTp19Bb+uNgiKJp8ofSVKZOd19C0xYZJhh+oV0iQaLKm6LLn
DMRJiTsy3ndWKbYAHnlKqKFsHkyVfSmnl1QWRNHWTmaeq8JU/dbvzZ8lG1K+VFRNh9lanTCBjB/x
eG4HWxmP0+gV91PBQow7Ke19uMVMhFAPZxoGyITwWiVQGUW3fk1LmTwCSU3AQS0SszoCmUKjtrRB
gEKWrF2rbtqNRuFax4KeGAMifVGcG826bx8tFuBdSYokOiPCDdM+YUw/T3U/vgxWF3WnvqUu4YBY
P121g9OC52JN7+4mZ+ZKzhoBVSTDgAfqD+TXp9va+rkidzdtfMzv9kZ6bTtvJxz2QTgbc3A3MIO7
KF0yps438Ljt0TTCuI3mk74OvdtdsL/KhvTSmmKNob/dJnFFGmZQBleiocAhw+5jNUhNt0Tle3E/
5wMeuyDruaaZ0iu8UEkyOXjGhVIPWedFydGb9dhe8Q6zWVr6MeJZ77XWjWGo6nfdpCVX2DGGtzQ3
xDUnl9UkllEmIGpT22Cj6MRQW1cF3FniE5oZxi5HYbN28pB1QkkljW1ubJ6xobRvSOe9Fr13p7PC
xKBgWszG3TEZZLJxOrItzRLjdKgfCDR8RI18HEF1zELON2lgH50yv5RqbK+zONrZeX1yk4tbTqtw
GuQUdS+rl5tfmaWc3VDOLF7M3L5LZ9v4xdt5V/vVhob0O2uATltp/55QFhsICKUlR9Q+KK0Gc+r4
217uS5Td3ufvoMu8loC+7nviL42bpDvVdYDuEjjKVOm4uzo3vmRa5I9BY0Qb1+jvGOp2PYl0ypa6
mDeDHx9h4xcbMgVPpT0lhzzHs6sKOz62+DRgqpUzjg+DGrISC9XMkiqk49V4lyQ9N6130FWd4KmB
wTc13FTIjlRkExDjZUYLehbYNcnOqr6Yaeb+DOb40SpKfNm+NR5UVDR8ZLJ9DqdtJ2xv2BLE8j7Z
mfRhJ+ZQ+Lq/ZpOgSeYiz1S0g0yO98jRd4kzVgh2SxohT/39UBKzB/S4l7PlHlqSrWXjY9hxza/C
i1FfXOSsHOWaPr3ttEhMJr3/ZCyT+KUGP/8Yl/j3n55O/4KsYrl/ZRf5EncLG0yX/YpNdtjz/pbM
rxpCfRQ8BEfuYHg7ysxCEUat28W6cW7pNuJTYiyjQ51Cm/cXPBYp+kQdcZ2daFAjM6ISzkkGCDT8
OgruMqsZgzDWcOt4X6a+zZyR43lJp3x+rrtKUIMV8XkWncLD4DUFGjO3vM7dzfVILZZuuukqF8mY
HCD1Gd2pEw6HRdVE52nOpglf5HqaGN8nS/t9yvTrgaNLnRincZg968jnkgt81zFcjqD79n6SZw9D
ZmABKlrTO3UtTmACi/EnKnO9sUCLYmYarwu0FMUVcj+mKb/NbLpesdJnx6zOFtVsZ5z8GR4U3Ey5
hfZaljEmvIplyTTaD0spuLVynF27VQS0kwXQLpjowhB12u9KTbtQVVlX9ugNjGl19aOb4jrEcl3w
Xu3bksLQXCB30GmB2uUumAN6ApB09pgZuz3aCDmFiORk+WOKDKHOYNFKykiVs0kcbYUadyYuH6Ok
fy6unpM2WO7cyCUIYpY3zBXZGZ1P3o2yWujVgDb7xqFAq2oLkNqpKSjw6qXjBorf+nZiF/BFZeYY
plV234FwuXJNWrLruMzExZQiv8HS77Ee6wYTaXkol5RyNss9J7Dqbiu/NA7elMhPP5qMgzCK4S4y
Vu8CMMzPCGFoRmpsx58zkG6sr/jUI2c07+EXFTv2bR+yiMTR1H0Z9jUcyY1VdndFwgIydaxDUTKb
ilZc8bSjD2s0prMft/7O1V0bqqTvtpTKpkwGWN5m2jedV3RGDWwueyliHv8SiDw/STCHhp+wDWjE
E9Dsmm2BPnZyZdsXDTlD+ys2hdq7rfHZ2hnBgkqKQ5MMVyjcu0RgkrLEmXj9C7Rb8sLJqZ4w8wqX
CRTm+DTRcjiOzl4v41eZaMFyxv5Vyzi45GNDqZhndnufurgjGd93x+/7K7zV07YnEPg14yq9mly/
vy9ri3ReT6NL1rDULsscqs7Uf3JZdFhh2V+TJIJk4KLdtnns70qRpmeZGW9U2McAd0xxU7XBBfo0
WOF8tMKKPM8OAAwtQ0MTbUkHVtRYdgvLtZFKyqnAx8VpJVUWDn7D1grsd9MPl6WBtTnjUD14EkJ4
qa1HAlb6UgiRnqzSqq4RzVwuH8K9ibEc3ecO85tDExj+iBR52S+2MagetoTQdK7oTcAQDFxA/uqj
YgqtUTS/84mkEY/veg9dst6VPZEVu7T401WVhMuXHVqFLLwtRmt+06wfqCnVs/XizePQbKaOsZlV
6fDcUlUJwijNMopPUqZW0LEEpsZ4cDcOCBCG7o49Ukg3Z3mO1md0tz6t8+8Hd/P9EMcKxQPd9oo4
PfrfD/rp+6FPoosLQANdttro74uB/L4kuOt9IVlvDv9/2vqv4NqwdILlWx9X/37a+t/dWP37Nu3/
+AL/d+7y/pCC0cb0bQtjp7N2u/4D3RaIPxwwLYACcb1h3PrT2BX8QeOpy/8NYQWQy8pg+efY5f7h
OhR0B3w5iHCg3f47kp29guP+THPxTTvgNuryZsHn4njib3gQWLkNwfBkOnVpGmcw1fv81uudcdjZ
EQ81uoHHIiP+V5GK9JqVDJv61ciFzEusk+HLLOQZ32HWqBz3Isxcj0gZKf/t7T59o943wD3j67kL
OSziq6WGb1Q5nWWGa/wvvqkdp0yPhpybNyS6dd0tUvqNmARid5PHEP5Di5/guVexxO/hKa7UzRSa
s7K6tZrjo1lmOBtRKxEHDEyJYKotYmPbRQXqPhAQTY8aF9OytbQ5WwTbWQWzHceNx9578u9sq52w
vdN2wD6cReMFBIFkIaShJyBLetwYMgVYtSUGmm5svzR/J6lZL2Ebk5zeSWnIhyqJJBFxCO2vrWRD
DhA9mj9t1xjumgyOba/Latz6GOZYknZyek+yHiiKzyTKus5N3+ja6GGksm8Dbmua95qlKoqC9b0p
rjZ2JcnYM/paIPZZyD0NrjW/ChWTtAFLTMrFMmumW3+1ytlLx50ImzC3voZZ5cIApy5KL8bZLqG6
totMlxs7LUfxaHW1zfQh5zbey6Cxg5dpIHw3t7jCqWUwgbUvaAJrLlMY9OcW8dClp5YHg3nLZKPA
MbSL3Qf7rMDK98Qmyix4NncYnRFNXi2oJmGPrYgXK+GOlFRbLlQq5MvIMyQlqrryFY4htKZ4o/SS
SdzGnh8TbvMw+7Kl4hYfsW5mma0fhtT8jfo3h1VOl67qregE3oUQSIOO3LXC2kcj5imuecsNpqlk
g7TkoIJIaCG5mCvGGu2wOXMVnutg9B6nQJ9UY4iGOHgUYC8cy1Bm0WOf+fGNXUwvVmNDkXer6473
B8Os8yXK8kSr70npuDoYhVli4QusLWz1NLSXobrEll1dubxtHkrM9ydXk7bJbCTTom39Q8m2fROA
Ixjd9pqZVW5duloIqoGZFmZ/8WVNAGoq2+siITNicQ38klNfHOigKV9SugZuJpvJfiT4Rry1njdG
gEuTaEN8m/uNF9rFWD+QPahvugpcmsydJVxwFGQbnZjRj7jQjzkz/2Ye8vg0w4lnSPHI30Mp3KRB
TfOshkbHZeSjxk/42JLh3GNXhkIXW9He5QIdSspKNoKy4M3E0iQVw3hpCxf/cpSYbZjNzvhUJM3d
1HSHiQ0qWQ1n3UCwu76NEgZ7Z5mHbuuk9s5hV1BzsZrYeMTz9EAqEu6Tx0anan6NY3qXK662LEqp
CBmGAfWr9wjH8imLfcobk3WF2uq8epUiaDiM7Cc58f6fS9AQZfRViOQgqO26MxjLftFoxzu9Xrvz
vHEj1CrQBAZZQ7juXjWcWcOYCFAGv/mGbjGDcgcDCNvaBj8OmzhyOtrYgBXZ6eDtCe32NERgA6/6
sgA7g7FSefjs2bEurwbf9z7LoiVMCtkebDtTF0YBvFK+oR5zBCh3iLIrqEDeNjALMuoKBJUvNXV2
tq7uO7w0oeAKsGnccrlZBnKZu7lEsE4g5OFNM6Zx52aWbW6lrGLa8lAvNmZkzc8pcJxVXlU3QZA3
mHs9THqJ43wObfe7aW1MmOCeaRuO7H0iVBAOAnyGm0/lnQOUbhMPPTVJdD9/1LSL74kCGvzwyqko
ZMPUS07Yp3RmTZ5DlqWCbG79F5ZU8VeTTyr9xx3kU/+v+Ff9L6ZE4KZ/fzqxXnTB5JkezlkvsP+2
FKxRJRKsVwTYrZ7ex0io0t0NaT3f9sTHfpDik5xxdZrvEKJJULISqp4qXHNhlxTia4xBcF5DZBGC
sdxZjgQomCC5VrkDWTHBY0qZymtowYtoO7XGtERn9EVycsbSV7daFrCLatJyzz1+WKhTJg2sVOq4
k3NuUIwvpEHzu8RPOKLaho4/M7Oxsg7W0H8YtkXuzkncFzRB5mq8qzZSvuE4GzJ0vkJCctUliPL+
pJQ3Hyj2rM5ItnpfJGicC0L60SE1ATMUoyIbgWVD+2vMxz5i80/uYudir13DzSnfIwGg7cA9ZCMI
U+09zXOL7ZG/qeVCtF1RznGE8Ei2dDMJNRUHMKLgbrRvYrwxZ6e89mSKINu5ZE3HCVubB42/7y15
YnZpFyIBJrCk3G1CXQ/ObTn39h0VCfFjq2YWHF2+T9OGyEcF5XQzZaK+LYMSb9uIEcgZXOcF6p5N
1HQN7YNY2FOoQfzOnIcQ+CQpz9h/TBwfXoLzs8rm8xQM7/UgcIU31Kj0prxpso+JnqLAEP41tdNI
7QZYOGSm/oFdMXVYNS8c9w3iVObK7VbSOFbmmMI/cKywLOA/jB6WTaN6sNSY3kCeAb9g2u7dlLJH
k5Fz4rGSb83BLZ47r8Ef1zsEKxZvpIl2bvrp+/a9oW+nes3mNaljNR8QyiidJF1CiUZQHQXvzdvW
a8UjSIFPr5b6oU745NlqHG/6weljQrBJT+fmAmTotBryYpytcVB9YVVpXgvp4qD24RVIKmcn5wah
brI4lB1HvwSLJvsQ4LR8Z4+Tvw04HpZHNBgLGRdHI2jnIG7fhB0nNz5+6xuAHu6HyignJYE12mFM
mv9jSnL0sNIlSViJAaq/YZLrTrAvWyUFIbZtDJ92YQUbVg3lo0WtZRKy6loOTuHjp25H2KQ66S4j
FhtCmWkFWaL04weTQO+lyDhvWvg+22FU8c6VOg1d1/Cf2lwKcge2+86tNvd4nIARPCpCYFcp8Wi8
6YZIzE1fGPmDqlrgTL7f2ESIO6qctxQfDCjuXDj6kMOuafdEhJodozREEN0tY7tdtembcgD5UPFs
5LHvLUsoKoyyc52VLzxa5K+xdscjV6/B4oisyYo3RLw3OYsVPghjBTs1WDj9/JTSYzWK6tl1svyS
z7l9QyfYhO0+CF7H3hZPKUahfdtF8cNikDSASAfshW8jfxLLwm+3xQy6WWRhXrk+QcyklfRxMWx7
10mO0ZMeLTiRblT3odVZb3NTURtNeAFew5xn4CBS73WO1G/WIQb7cDFN9IJUe3KXPLqUk1FYnc/6
Z2cT/8DyMUKD7dl9vPdmMj0KttavEUn5ht/ohK877i06hTD6L0dYa/bPJW9h+NkM69hMsweosMF7
07f6SUhdXRNApQRGV1bPvaTCGSUzwtyhNAvmWVHnI76sxf0cXUnjpjFSKW3jstMhtpaR52qdxorF
+zD/NP3OuFFmgxhcAbcPNlYV5WeDxedFjp4ixGNNX2bZLZSODL3/Iuh9WKnllmGfayRfJg28+K/W
qGbQuY1Oy21jdDSKAcuw3vyuKx8dArAnFVESIWO4B34/SmPXy4iMqhNwE9uoCUsAh15PZmieNEue
CAcHpkNl/Ry8Zs6PWqrkgw4dOl9KFgKXJluGTWtFaNBF7lEZ43PHNqFoxedZc7zsbTV4X3EyiOuI
WrIrWnw6UpS2tTzT7WWx4B9Ef0SqMn5UvZPcDW7lf9RaDI+TYISiNcRYh6dck7IKYj6EhGMJjbPH
aWn3g259vUyNOKXYLJl/dIkXZBhieIl4QeO7ARbL02Cmxi20ZA57z1yXUxCMjN8DCzakl9JC8+l7
07khm+EyLhT2dKHRemQzY9sfsdHP/Z63fPtrHuL8JFo3yrd12savlU7jYA+QKj6NzBu/oXqzzCzZ
voflkLKZbVNPU2E/5ZS+Znn7TJ5xIdJbUdxAEMqH9Bj5Kgxyf8YOYPQ6p5dsGc49SYjbDO38gden
uqEehlsniZ83gHAi9CO2kyR5IqtB9WppdoXuR9zNHwitEtoBChwDkOykodaQY6Z2meOIbJt5Ne/H
rNH1rUQfvx1Ztxxbw6YRTsnYPnYUdrBk9ArsanaWE/RLUunVZHkH2ikq8lkbp/Z+CLZHH8wxNsY8
rPSYnSoy3LwV0u6mmzVQu3QI9N3cqVfLNB8nY2if6OoglUdrSn07FqZZ3025To7TYjnv7oIaCFm5
gE4CufrUEhkKG231r8Sq+99ACv1yZ6jaf6xN7J4LVYTPBIh5EuUTcbuyw9OJ781PiKSKis4ONNEL
ez3L2Y+NAV8pzgw4MnbCEte1rubKxqqGK8DMDgH7SEZtMvc3xMC7W8/X0wbyy/LgpqVG0sIP6rmT
/0ZBqH7suG5ReKmN6MSo5MZ7oW18udw3O+S1udwtI+/OrWXNtXfbimLmA8Tig4zYNB/MVtnv01x1
p7E1ieDB8SZa6c3lRnaSPhemJW5gLESxxQQtXZxGp0osF4769GjD+8JSaADZyXyq69JxWm+snBPv
jLPwtBjhqR8GQb2bKgP6K7qmx7Uom59hpBRiw0scYI8ImoxZukkIfBGi5frb8sHGhjAt9s7w/PaE
P2V4kk6RiZ2MNKkis7DhDsYGKGu6TduLT+jxULQuLER/1K9NbUf5bWkgLHANWs9NWNCzjbeI86iF
B1HeNTm5nZCQbZ0edCthwpjsrjdFwK1obpKVbJE2ijdzEdCE3Q7x59It9hmfZG6GfqvZfweUuOEd
7fyORCiawAaIzzxfqYJOrxP5oy4JIyxQP+GBNFuT8qMfmnjNLwfg0Mk0gurFcfLkmZ3fOONnNNVB
mQb+YiGHAw7Okch0Qk0N3Wu/c7KmTMQ2ea9tWlYF2bven3Yz2Kj9oB3jwCOp3QX5zBxnMoyV1opf
ilmmUFjiOZ/4SXpKg4LGeVoCUYSVxRAZB+4VTHK5n7EGh7CMFhCNs3lTsJ3ZUbtH3IFc6rzF4lM/
9G4QfdZLY7E9h7ZWmHrmmd2TAx/rwWBeHOz0YWEpte91UryQf5xuilzqp7oBJcbo2COrGbV5m3rK
3wUoMZe+MJ2riQ881jGu/p1RzMfY0+kWODiCp+9Vt47VOU+87bkJZ/JKpL190iIaXuNhkmfMLvRa
LfSKJ449nsY4IUw/YMa2SCT2nvPInby7V55uz1kcy+uEzrZjTqD4zeQ394FVkyXwZDr7CXggOFmR
Xzdjld713rxlTSU3SY84s5oMsaNFFiRTmfyItFFQdtSEZVfYB+52Cl6hEQNwcrrroRneAmJ6B1Qu
dQiSAKpj3eY7TP5cTxef7qIhuFRJo05On34KYnbrtgK/eJeROLcd7gPWeGWxbz7ifCrOkZ/RSFQl
q8isi58Ql6vLIlH5ccB1fJNFf6zJgB+HLPN2rMfpjDWdfu+lEktvcCDXG/wnkGWxFjP8xdrh0IRi
Up8isZEI8V0o/Cdrh8HxWykOkpM1pRbXzvWW5tv44KlglGrr8Baat56LNbABP7/P59E7qdKO9H/2
jeBJ+ft34iE70o5AJkg6YKz58z99Jx2OWl1i1z3NnYvg1Q8fSWCr5b6ZZNDf+n4l3LvczD07LJZS
PUzkH7uN62eDCOeJz3cip2el8bC8TLPVUWuJgis2NmbW9t2FsCB3sjecl3awirsgiHjlXbt49cEx
sJZYF3JUqIsPDyMBjhKmxhfWH8ZeD4P9SBrN+OySiIv36BMENBHsNkkb4x5IMeFyxMlLYKYsBfwJ
AGEX80ZJE33f1m7m79jEYkRYzPwscS/vQNTYXCTs+FbVtPINfjc8UJ81A4nT9mUsYh6HlQN3Whev
ll2b94MVX3lK+FtrXVp66/qScCubzAmJlVWpkVtJyMqVmrbvtWf8vQKFN23+JozGOsCSrffl0Zlw
p528eyCNL15c22xbit255W+K9cKuUfasXRz76TEdC/0jSGzep8X37V583/SD71u//p4AVuX2E5cH
Z6c5+bfZ95wghto+QpLTmwHkkHWwv8cJtknue7pAKQGu6J+MyPoRO/N4ajQyPp4YAPDwLDbQXGpv
Y6wzy/Q9vvjrJEPC0bm463RDkGk5RIkektBfeD5n9UwOTigmonU28tcpCWdruuua0jlYbceOct2I
bjlNjI/ie8ii4szbZOvkFawzmLVOYzhEmrcWrNq8ZZfDuNYEibU8ghLI32hdbd7hR5moYDOe5Rdq
HHmRnLpwboaF+fKgpMsunEV689pFjVt9GWjGaZhAvf1NPqBu7/4kZvyLtYv1vfT/ywfWM7GD0R1j
oU8I3/qbOI9xI5vshMdJyl3rAkMkvq4V9Ly+o6MKTpF/av2uVADT6yjUXX3rF3V0neg6rck8Kn3l
DnHLNg2S044NAJDwigjIA1MPJF7JnvSV0CCZjxh0wKNULXQ/CwJHPKeK+Ki+LYsIDKjq1zZPMV0L
LE8DgoKOPitjTfSljYt/pM3vrQCPf6vd7Mp2xWNjJ7eVFd0FhRbXUBhHNsDRXpjxI59x+8bE08lg
BhjBkCbEz9Qkosy+jngyPQvuMUlbbDuDywWVZ4d5xLFR3LluZt7ZtZhkWEsnfhKEaw7xlK1WgxFC
H4YXxe5tzvsbDpcWkgZM5p6bzLBz2C1TtSIRIkNHF/nV0prAIEfREVAt3ab68sa+XS/MIxdJZ7iz
AM89LzFu2RoPwFbiPKEBVdNtIQovektQFVAf57ICGFB3+2jIk0NatgZRqkh6aBbZsM+8ebWZOHzk
4EO5/Hydi1W+zKavkg7bVcM0owOTcEWHJSgMJGWrK4ERjlNAz2gX3ZOMTz5KIaPDQJoxjKLKeNBs
RtgUoAQTZ5muisxXBKVTccNqceFdyaWzyAJ9Jhlu0LRZNCFfDoSn4VcPNLGuAWunaX+Yc8QnILb9
zYQ1uF2VnGTv4mrZeosz7WevHd5IaaRPxHytZ2wG1TEyFzPZ1lPL0aRVdr/0A7zPUtpnh1NqKz1v
CGu0hlDFiXfnoY//qKiP5BSFx0OJJq/MVWqbsmCIcaPrmTDTgXSWyec6yOzrpqwfEb2b/VSwoHC/
n0RL0st7HCDxRYFLBk/RmWtHhw0J6Y761BE/4ioiiW89SQyaRsLoW2cyV8mpY6u7ZldXJSqCNgRE
K52zPHQr60N8q1YB+pX1rWT1WC7JOCjvufhWuirLgFRVp4rpM+X0rnacbs1bzHYvPdrSFfENEEPQ
YOtz7EuOChiWrS0foPSqtmU4AQjYd5r/MhnY7iVVI0aWYsn+D3vnsSQ5kibpVxmZO0oM3CCysweH
c/cMzi+QyCDgnBgMTz+fV9W2VNb2rnTf9rCXkkoSkREecCO/qn4K8cw1D63VDpyrMalhUAkuYf0B
Fku2z6TXk8phgAHYG5jLyR5tzhPQnJjpzpfxbu6aL6DY4b0P8UMepC9pd3mDABzW1N4e22hZDvMU
+NvGJBTGV91vXYTW05wgEfVG7e6JvvYEH/+huv6ThQqB9NdzhW9ysGCRIu1IvYFz0Tb/sptDARlz
RqL+IYjdqzi4bvPu3Ey3/74Q/q95ih9q+i3K/3HJt37UBGZTpgD/89df9n/8mvH3+n14/+UXm9/V
6dvxq9N3X/1Y8KF/DMovf/Nf/cP/+PqXNG6PSNJfXurLv/DnR169l1//9Z+n967i93J+Hn98wsPn
f/2n+cdH/RlElb+5Lq4uqr8omWSHQDf+Q9UmiIpk7QqEbiGQMANm9n+6iU2JrE1LmKD1mYMqKdF/
yNomWrhvmbTs4U3mfxDg/9f3/+eDwEv3fxQO/p5D9ej1wEmMPB7wmezfvcZ/eTC83jUaH7DAhqqc
vaYaiSHHtylhYQx0l0bD7VTn360DM/gvr9I/eSDl7w1bf9k5cbRJorQucRcot3wvf3skCdAxHOO5
ZLgXdF+symI1Oo4Du8mdzPhgCa78jOKI8q781Fju8ISQSYAatlylZt98YwuA+cAJGCJ+lUv5Uktd
nzLLITjVpoR1OD1RnUm2SMsbIo1zj9OMRdR2I450HQT0BfHxaOA42cZ9AJ6n0lxlC1gf2Py6axXD
P2PC95EJVhcwa9vLCTYcDAxJflvd6bIseYuLjWdYAhgMuStn7rI7ezYx3c3zZF+ZtWHeFDFWLL83
LijGOQNeILOHmMMbADdG4zsyYOWtdusNSakzsZH+R97wUszBYrJYsnDOYEJSPlhpgAKgWqeLWu48
Dn6PatmPZsylL+jOboWGYKYMAFErAAY0FpA/a3Az5lqMTlJY2Hce9weaaxPulnBtTZDDt7punXVU
D8kLohXO2Jzx0aW03K5D+5JMVkY/fEezFcwgYoIOTSUbgs+hQVPeaOWBte4C8Xi5gfK/uNa9dcTZ
4q6vW9KG2K6B6DINzSgYzrXaScG8BjEOhAp807OFaBTahutdMbJ0rgXH0mRj5dq9Yaf2QxJL4pz2
MxD7Zq5u5pju63BhKQE90cKCIM5WBauGuoVd7YzzecrksAWhVYUXpMg2S4flVM1T89hWyP1h2/Qc
snzbrZ+wRkO/GQxJR23O2QNFaQrqG+ageMsSJy8xPGJYIhJYtWXo9E0wrDgGO2z7At2kTsTyRB8t
+HKkqRi91dLsbrADpb7m72EPJ4htfrmG74pNPE4VDUBDcJN4CoScYIDhhiOU4dCl4eMw4r7HslDV
GdV8k6hz7ICWTaWKzz2gjhv3ydVwxDZLpr1oTR4PrvM8YK/3uh7+Y81w9hCVvY9IxNHhxzgmw1vL
UPoHlcriBT5h8hUxwf3glUnv+rwKrn2cX/mq1QXY5tQZkxck85Skz5jGWwuWC3k2YU43njXyryxW
YoKpzzmkaOrK34CP90dvyS4hSOIFpOUmzvDrxMZnS4WGtYVaou+terHvKlPm7VqZ1rAA4uZIt7rU
2H5QHIJ2lsWquZ0iM3jrJcXDXcqrt3FkVwMWJ/1Hzjz2nqaBCgJ/HM15MxIBfKeku39UcYDqZ8Ea
fG/TrOWOQJsfHuaOgKEHkZfjNN7DL6NPzftkaMonMLLRrTfb/ks1FhZVCnYRGWtL2eIhjjKSSkTG
kIDHClpO7bUORoyRDioG5Q2NeRlbNDGCsbS3pMbw/3tdQQWON/vWKk48D+1aUL9mJhNzWHyMTIkG
GIzIKtO0o0K6u+vU1DLQikVxWvJ8Ni+IUVaRHKypWkHOYkbdaOheZi7zp0xfpnYMSzPQuJVffwgU
E3Lyrl3uSSmR9aJVwdeshJbP+Dnl+/HGC9q8IXRxY5RFgvXbd0eG5i7VPwgT6jYlnfrEj5QTE3NL
bMCy8Zieed09fb7J2mkcRS+JW94WJlD7pekZhzfe3L7YPccMFjOhXxVTizcWc36iEJANdBTfpFoA
I44RhO0UZ/kKQzImP0OWMwKsUIMdDjNfqQFsd4xJ2674CgOmsgi8VThFkVuTVVwmBt2eeipEl+FF
AqncE1MOQLoJK7Be06GfiLCMLlMhYRoV1CioRT8QP8Ybw5XNo9QzTLw+mny5iZiSvCjAgZ9tvAC3
LJMLrSfFvYCWyhSCqociWVxsVp2ODyZ6IJxVRJwrkDwiuakF2YoNaBX7WE9enOz6wh6CozZGxrN6
NHl3dXWZgvZqM+NdRd0chZBvup6RXxVt+wocG2w6H6io3WawNfH5U9ZmX0KFPDiEMFoYVbDKazwT
TLbAWQMT5rbtaWIioTRdmHxzB9i+6ykGl4NcjkE2NWFjyYhYdde9+ZNhkhbt/Ce4SeVxYqJLbEOw
EIv+kmhLNDtoXo36uZQmix4DBHVFMZ2kR5mi6Melyqm61nnCuMF2Hf+zrjzvnksLphbOjoD/IL9Q
QTD63bcep+S28xgdh3iMh80kAnUluWeCZodTadPa8VzV8aWrQRJIyHy2ndgrLmb/ajlhOIVKx73t
RPkH3RV85e+0TVyNKonQl4WrVwsHqZ/4RYorBz+S2oxAaogE09BODLFxfbGPYk1uljFP9C5iLj2r
0Rtyfa49zXxb0s/7TAuO4ActizQDD4M4GTYm39scJfrlktx/YPltbmY4WbuYseprzf589oj3w9wv
rOK1HOfAXpn94mPpEN4CWC/jvhtidyX20V9uQdyCRfemRu6djs/kNZoj60Zg/fuihQIJM0qXR5c3
0gcAmwg6JjDn7VwXOwt6HF6oGlDmqqN24XOBcNeE5LdwBgdQxzAQ9J51mxKOuq9JQB5GYeXFuZ0m
/9Udk+R7yZHeQzNpyWGacH554bLkYgEfKNB0DsvsUBJRx5F80ZDN39ld0lvmecnMskULwEyhD1Gf
dT00BviNts/9axGx5ZO/XJwZ3lAFYNvAZ8e8YnTXCBs9bwLoO3NvZO+tFURX9VQ/AygHY9YRiUyw
KzAjJ7m95WCA2WEcDH866cTxQEeRighbTVwZVcjJMOzPWC9KXgmzjLA1osvYwIAt+dFag32qEoL2
q9k3yQFFddCjSRneeXTMV5S29jGfbeenRFovaH/jMdsEpFNb6KIcEnC5+cO39Axo6i1eBUqaU1fe
YVGIo+0IN0HjDIgBUjOZyXh32iMKmFL2hVMw4ebbCElYAMj3bNSnkSn5sxpaniii1RUHIXLcoQOC
bd8VAvM1EXC2SzZ487vLAeuyThcx17oKq6QxOvO1l1KzgWxaTgwa6V1dYRIwiU/PpT6mLXF+NLJR
Mtt30pyclhRh4+bDm91O3CWLMTXeYsOrvdDudfY+K5tVILBKkjDmYpj3lWyoooinhrMJ4V/1qHJc
2qE28I0edGSjF/MIkNTIs0zHP7Qt7DtRFYvcFspTxSpdClxjI0SxA2ZIn+GGRRzEAXwaQO7o2iYI
7cH0tlS8JM+MbC9VEgsnti5KzFVO1QGqh2YeHs3M/ShjXAB3mcaHNuPmVWBxx2oHkc6wGBMsEluU
LLdOimpF2x2C0QJsYG5i6xoRi+i35xLKoMaFOju9LpEi9jGDqQxipXRus8YwNqqs5Nbqu2LjM5Fg
y52iGx25QOV8kH1bpmkfeA/MZ55E+1ulfbbpptTmHVb7wY0/dh1us1kxrsJoebeYOq03YgiSe0Ob
5Q8kcl4/3hRPqNksV4VtIyjIPtPPWEr7h74bLmVSizvrNfHo3lyZuhm/wcuNH04CaHEFeiApQxQw
gcWe2823LamSQUhKkgen0TVbLFYgGIW2RpU36MiKLZ7CFQHrKlmbo1bfqYGg2Cxtea8WFpVVU0XN
uIZNhysOrgT42mgYZms/OvYs1zqf9RF/BOTEtigJyzEiWYk8IWPsOsDT2MaqtrgqOc2X63zJJnFw
u6LbxKaX3jc5iJUavMVmQU9cURyySBIoeOiUxWCqZrCDA7Ad8QoXlUdbRxGRiph1WioeYi94qCNk
QlJTmpMgGyVZsbhjAIT3uCWHF8MOprKjQZFZY0zmpfWd+tEcynKLJJhTX5w34oSal0yboa+CHr5q
XzzrkWggbS1j8pX7McaM1o84FVVGyRHR9AQzl1hZ9ZMY7eJB9UJ+WpRl7JXWc3OgebB6qbgZ17Ai
uuw9c+qYpKpBFkrpi0ZnG1WBhYJoyAlhluNhUAWazhuoINiqVOSwOJDhhURb1+0tKjADRJySAZhm
esnW3sg8K+ydjgidD2rnBHmDVKTG1vXgVx1OCaP4qhZKvDEdSOBFnelH5ItKI4v3rhebR69T7lU9
TBwhkwFwzDEtpThGHfRqlmU3PwyZ22EJi+H+OeQ4+Dm6XPOmuSHzajnioGRMy4pRZ5+e34tuZfup
eeKW7N7STHIy5SJWqq0PpWUtV3OS04zileuBy9emthV8MafYpTWIVMuMLRQ277rnDXCdUmoNdn3A
w1s4gnsDx4+unvoEB9CQI8UvXCwW+kXo6cN+MSlBlVyX7qrWrG5h2pc3pe6oUDQ5NVL5o7uIf0Y7
xbkmVrwxYIeuyFhyuCAue20HKGUAE/cAZMww43wZ97m6qbxOPImqvAAQBNjHsuufK4oZwiG1vLvJ
kxjrmkxv3Wq+9hNjVmvLHT2qcObgAEbZiTifWJieXSMQMJ/a9GSauQKDmcoFB1RREaqvg+MyAeEP
ybpR5MHi/YWdaNdK0X9TRpTfxNMEtGKqgtfamOQRez7grNaLPyUbaOjzAsF7qvkreKkhdKcgEjZ8
xty4QaPyfeCMDRLxlPTNQ0m4CsZORC5XAap5sMsEHGpUYe0PjGbve8n0iN8sf4tG/L0MgrXxTba3
6t/snGsQB4B0srZVJMWywymiqMZ2rBnfphOLQzo2xadhDt1Z03WWriYkTxPzhSk4DeDIUVssGwBQ
Mhlg33fQJ03ZIhm7auKOI/Co0/5m1vC0TE4K6/yyZzYSdANuAHrPVlLZKl9zRuqPze/LzsCX9jp4
DlxVCj4jsZ5ng4diAlfjEkvlmkDbtE1dkFX3UHAbf4SAbaME4hBS5lfjpla0diyU8rXsZXAIsI0H
e8wrfRzSUsMhGgCI9yVj4Jopk5xTr3p1hT9nAX4tEg6mo5nRJVA6GB3wKaV06Tj1fhht+w5T7VRu
YilYEiMJsDumUoJmTzyt/Sotfe3uUtAmTZgV2NqYT1viPHYNYOhh4vQ0SOhb29qYhw9wH3LY/fuj
z38+1PxlxPmvTUd3X/VluNj/OhD9f3M+eoEg/GXy97/NR3+8fyb6/T9uuvfPrz75ZUj6x4f+MSSV
1m8SkAHCtbAEHuZfh6QmkjiT0Mvs1PpL9Mf7TfIBAcl4urhNP/hL9Mf8TfgeNgKQRoAE7eDfmpGa
1uVT/XV+jl4gSOB6FpNS3xFQHH6dn6emEcxLvvTbuRgTZy06LoewepJrw8jEU+IO5rMk5YJTDb7b
OeVeYB5l1Qz0hqbZPc2Q6XXHHZnTqtLOJ93CwcNSDUGzi+rY8s4sGGPyFEOaJKZg1PJpikj5Wo1l
rWeDXHkviruW08Cj79YuhdDjdN1U4olT2kwhUaUeUrcpH+Klqj5H17evO1Fme8tpJIOaJTl0cTne
lBjperYSd67Dnjgo3cIJYjtIEpogXN3DLB+4tkkSlZBKR6lvA8osATmlXlEfra69q2Y89nf4BGsb
TXEp7xshWSroZ5zuS7OGrLQ4inkNRv3LQMu5ZKXA1+K1sjEJfRqGxIqj24rJoF2yyZ8xhgXBcYos
32eY6FjdrdZ584k1CttQHMz59GSYcfBJRc38czFVDdkTZbTcDL4N8yJThrdNg4CLvuHlVnnt4mq5
1AK50/cArqxmcyzbN7R586H2sK7ayG+3lsNSobLskDDcNY6NkTRiB3bQ+4lO4UwH20OwWLVRR6i1
SDyxrJKZNKg30Z5gZjEZgMiEukiWXTzQwJS+joUTf47U5n7MovevSoqEfUh3AMajBLNP6JaNOmEi
H3YVx3Tik25X7nhV6PAbXEhKRd9C2G7TZtm7U64wowzxmfxEmb8tPBx34BMNqFCiEkejkzk9XoUV
DgtDsFUTYSA0CYelYTNefJixBxrN5pjqOjSO7TL44EejyeKzU+UfVDgZ2FVJoa7TsmaUSoztXqIS
cs1dOFMWfN/ctL0wM8CAhLEz1++kyXF3p6P9HRelfHY6btpALPrcfksarsxM7Ui8jPNP26wFI67J
2GO3jPEgmelO4BBN1gM55JM3lHdEhMhsV11ydl1NT6/vBq9dV6Q/Yo7x4In1kuzawZdsAFABw1wY
xcvUzXhlDcsF3uqlWKFD37Gg8IyC1jOi1cXMeZbq2ObYVzaJZrkwadNF3J/B76XrrKruZKbEJsX4
1e6cDEMz++JD4TjTa+eAwRcNB50wUNJNwmnqGfPTrC3tvaB/4h1w5Jg8j4xQU4xaCaR4Lq00tBDx
Uuog/IEpnhoXSl3qkvD1wcQ+fKnSmZKXXqUz5kwzHuptzfBjPrc6NoJ1kqtWAYe27GTr5B6g6MRQ
5nWPmOgzc+u8VxuaH8w2GWNe2kXl6DyDH2qNK9fpk25LejYZt/NFWlmTd7I0qStujFuFBVOss5kf
NGGoyqVYnOKqaqZIG+r+j2jinBuabSZAZwb8rbtEKuyp2o9M9TzwdEnyREU+b6PYIMWeKg4QYYXN
m6dsUWzCSTo8iKxwDwhZcXuf97WG1g6UOvtSk27OU1FT8mO72C7QR02SAXyhVkhAKqfncsCtZUdR
h1eQK4lYx67/Ow0Fuy3UK6OD9jea0bQul+K7C8D3lp6t4k2UNYQ+eDK5QTUp0zoz6JxbLnzVVUVt
+adnYL/eOwFI6ePouN1PqNUdiLSEKSXHthmoAX/EIjFbjxWmq8fWKTk9i9x0thjoOLAL+q3DhEBY
6NOXmobLJWq6jghcMaBNIFmuWCB9UNrZ2NY0qwDTN9MmMvhD8FuYdXIymFnVqddpquSPidH6cw1O
jUmaqzTTLis/cmtAP+EwMiPAW7FxsROovWcO6scUtAHBe8ZXhB4TRAvDm28ptdChk1TWXTlVFCkq
ZBykmSquDxFDmR6hgc4Xs9XpaSB+SSKgax/MyrKfUe7V1sTtjiE98LgrKe5SJVtkuZkNIX7OMfFx
27DmbBPTwr5woFrGnQB/c25wGoYVQwVGFHU5IoNUDXXJ9fjOiG1+Q0Bynno6aQ/eOGVbge/zjt0y
lbvW9PsHMnDzz5Zz6ycikHpQXam2k1vdByxLWF6pb+s3yVTfZ8xL8F6jQR3blsvhjillvDfLFlsl
g94dQMgsDV1noI2LqqM02cpiWjriDt5r7Ff8WInD96fc0/I7QGohQk48gRZvsc/Iu71h3ULkqV1h
KebHJDmKCSQIg756X9JWtyFwqa5cyLWIhKRmsq2mLZ7FNeb4CiP3POK/p/Omis3mDBqTCpq+W+rH
tlCFj+yC8Z3QYeMcGsiBJwC+ENRqXzqkKARtwjSkOrcYTu0fWZsH11WHGYQLrfxga+7OC11zr9nE
IH+l8HgdmxmrfIk3nK9Fs1C59tzdlcCMID86U3DN1zK8ldAunnKz5zI5qnq5w3uaYDbSDRkvDz+o
n3150ioewYBjXYjKdLjip1e9YgZZ1rM7GLsM2uyuBmq+TuvmEyVpuYHgI684uVBHFlQlw0N0uBbT
CjUmNYyayhypNQzqifcbKce1KVLvVuCmICg6BvrWHI2lua+IoBwtp+7eLJNIxSYGCcAAoyaxBT4G
gwUDWmyDHkWSSDy4DWbsv/bBTar8pVZxHF9rZ2CIIDKn+kmF5PBBahC0d08I2SBQFWnGQlwSsV3G
kw/qWDOLo97WPzYSFRZ6XM1/deIawBtjqoBWwvD9iTttWoUuFDys4tHg3jqZRaJE9azM/HDNJ7S/
atgMDNdr6mbdct1wMOOeBz91pxc1fLt1QFlGTjh7J+xk/HbVQFO6cpuz8jr/SI1Qc5vX9bQggZD/
XbvFlD0WVVvtkrbsT2lCR6+A63EMOp9PZHYpeESzKBKqbno2G27REyVihBMT7nT8IU7SIdh3Wdkz
NNX28t4G1Cxt2kuDcKqN6GPoZx9Vqp+ANcTSIcRizZebLAm2DpNuRorL4sOrkG4log2l31dYPEB8
cTClvBqDPR6nVMboiWOB/sHnpDY+yOq3IB9L3m92pbbc9ch9RjmkITBPzaUj1oupgMIAgSTrnhwo
Vu/2OPYbGlkudZsObUUk3kx31ZhMNXy+pE3MmklltxT18wDy42MRdatXdu27ZKzcyVgFGKqA8+r5
onFUD4BU+Nq6rmZiIqFCh6pJ+0PVLrG9sZy4vmHV1+uu82nW5bBTNyhjUfwIcfKy7iiWyR4vWOiV
ATGFLuLQBKQmo7XGnnX7JtOMrQae1XLdla3rrJtxHt+HoXY3PummOizbPL+2U6tz6D0sCd+inwhx
MZHNP4bOHJ2w52r+GC9D8ICrMJcYtQIMCEDX9lUN5Go9+7PzIgJ3Su5J9Ac3rYO6uGGBkajkBtvH
RTxDG2JnvqmoDT8mGAAhWJWD3NvUrw9hzqBDr2Jes71IA5q58WvTdGJ2/i09UQRnZaWse49dZ914
8fhEUiS9t7Ulb5SOObclCAq3BVL/tBXB4vYcSQwBy5UBlF5BsPHuJy9Ir+mO9DjkyVxfE9bLP8p4
tu/ahoV67+EwRv5FiN+4E02ZrHgEI4ueXjUtsy+mOjRxlYn7yHW+Nre9MLw7MSrvrV7QSkK8qQRj
W9I9DCfRyxKv9l9zQlQ3peiMn7Uss3tB+016svqhPFWT9r8DiZB+XuhwgADXu+WnTRLqaVGz3hdL
MZ185mTp2sF+Br0YYnS19bjA6zXpGpHsSTB4e+A6xqMXa9gkRd/0OzG4w6lMuiD0dSoQgd3G3ph6
7MawsijREHmpKNMsJv28yAgvXJI1mKlRlXzCO+m8pZ6lOQ81QeC1EafdRlVxeoI2Kg5mOb7MghLk
KK5TiKJkPNLKat+imvY/tqbmOCe2PKRdw8rjxM5tqjDbudqK41WqqaYTLF4MJpMnKwd643RMH3kK
Idv0wXftUzXg2d1hxoi5aeUAfQpI906qpIZ+qqOvCNX3Gl8L658OLkHWmduhMTi7uhwwvXJEIFIw
T2Bdgrq+mWn2OrRZ029NbRC07FV+amN//FDk2W99Q0cyBE1N5GX264dLWHlL9K7fqyKI3zjO9IyF
k7u0YmnuR75QvYDEVS0kP3+qo1PjTumuoY2bJsuxP6OssFMb9KGoVAET8oaDWUvYYezEOXxnNXzm
bSXUJlMFRNgMlHfWMphcV603HBUPCO30uqOhzho4LObZMejz6X2R7edCjoc7jRNdtlNuY01SRQdP
dx2KrLVQcxvH2ykhKM9rbIsfQUp1XOL/XjdIyqWLmaylUJ5vh1IAG2znuTt5bT6cgdI3B20QaVxL
cGzXLoDgsDAy72zX0QOP/a0HWHuaxyd7UQ6aXy5XEhYoug/SKFynAGZEjxaSE3NcUZiY/EhgMEMv
0GPxhMCIKhl7Qcjtk3b3oGofPTHM7+AM5xtvsfBaCjjaP/Ti+XvPUs6hjmjH2QFTcljemIbRty6u
86bvrnOGbruoH/ajaXecAMcKwF1hj2+cOqOwyl33hcT0BNqj/1EmRXvqYS6uW1MUVL+XdvwTCU/8
jDlukC+e660etQR9bywA/oL+Kium8b5M+LdJG7u4gqxx2xbk2HhEDfdQLqV1VXu+eqDYjEBMnw8o
OoUxvDLxdI+DCfinKkema9ruf0o6zbdF4M8nN4jUfRRTjybkILYKxNm+8zxnaxum9yzBHeVQs+N4
Wk/gRsSG08hNwdNIfG5qCzoCR7PcQBHBY0yKssJeY4F0oweuTUKPWxu3YcNu3pAZzHKdALb49gss
Lg9EZemfMa2q4mYyUMA+sJt8dpah7Eswdt5nS1q9zXHHeGK0LbwrvpE18U2ZNeIpSqea43de3jDj
tN6sxPCu6Uw2P2m8rRHCnAIGQ8PP4TByu9l6fsFFwl/m9ClvZwhfhmwsBJemr6r9HLeSDDSz9g14
veVlShr34DMBOsxjD42F2qfqBhXR8vaXAcl7TKZ3M+WLjyAwzRSo287AHjZUMDvNXovVoCYnZH9p
7pPCH94tGrdWRm+We+Izb11WAz7r+4ES9jHO10IxZ+FeV2BSiWr3ofX1sO+rxbZ+xOT0emaxHTxj
q7cWfzeI0jZINxgZBcAX7e0pa0mT7hp2TRsNr7gcGeOzwvibUlzKCzEE5OujHsvXKqMF+bsR83gl
Fyd6JqhHqVQCVAG9a/Czl5Q6lyMTnKreyqxFpLPw8B0NP7PLBxUNy301mJN3hgs39Kc6mfN5vSS6
3KTKoN2WqcRusP3XoGzLYNNyfdvZDOeorVpSGlJt011+cOnssFGzY22VYrKdx70KuZoZD42kTdnw
lj682JfpRKynN95ypBVZ8j3n1I5ldg0kwvkoslE+M5lBlGQ/4iTduLsKwtiVGzTth9PBioT4Edvn
ub2gioOk+IQpYNASLLOUIrakwwdmLoh18A7Kjmh/x8CAIbvVwfhusBNjFW7UD5DM/eVaOMbMIwrU
+JXEMIOW1lejWjVNrKBv9+gyJ4rAXGKAhIw5DmcJDpFIEL7aY+ynkoZhtyx21GiJdZe7ZACdrhlf
7AiCw3bq6449h2rrh5xxoIuFsBivK64v/C55/D5MSh5MqCZB7lFVWTrvBF2hVgPbwk2JgsYJhy1K
+yhqKycp56MKGu9nXpjNMx1N8oVaxGrG9pcYN7WEXYxUhnIK2rvXW6kHjrApTaMHTuIUaC9NXoSR
Hnuud1Ur2rDJhgaBOZHxm9PqZld5o3eFYCIBTValhFiK9WTtptL98Jh/GOvMguTqOUVescpb8iXr
DSrwTG8kd0Yi8aZ0hb0nFkOcIhvs4q6i+m6vogsaNum4e5DjIuvFjwQ2jZldBDFAfrxJSjuHMTqR
Dmh3kVUaE+IEmIDmkAVdNG5GArQ7kqawEKIiml8njwsW34nsn0aNyhx6+Eb4rv2LY8TKhwXPDExb
2ilwCLyPRWI+SMKp08YZpMc5IY/tk9dPKIAxkNx3i9oJ5hbpbJhbmH/CCMsJk+0x8McFlPp4qYUj
RyMpY599Fx6AmHEc4IXalZCNjgxE/HRbSeJ4TGuLT1yK1g9UTuyuRX4RZbADdt51Ck7tqQ3c7LlV
gkaCUUcY79Qi8Rrkho/5APefiXrPo3IcgAFVEIkkGZMRzsJDmXbc5meL5Ud7ZvYz0mpgDmJZrXVm
nSBBhMTa8IDmbmke5Nx2xD1kMNlw6qdxWafZ7H907tg9Fp4FzTtPqWeGlcBIbwUZhgRqQvhlxV3A
yIGRd9gb0Art+B2bvH+arY5ZaRpk8oq4Ma434DstC3YWk9coWf+XdV6hkq3dakA+gofJwMZLiNlS
BTU1V1lZzIohbT6/elEWrRe/HV95J3XWuRNi3MX0h43nRliY4pTh28GaRHT8GWGAS7azRZ50dclz
tCHbEuvKXJFveMzsyTkuQb1YK0Ge3wsV26RDkAeAvUP+gC6YSzfh1Ah91pUxppdbpBGHTTe3SPBF
XWQbK0mXWyTDvNnhjqwQ6vOgX7eC9/yGrGQEf8qIVNgNGSwokWF/Unl5MRCIS9EAq6oNWbecKTRT
YjxrgDNtaLTsMmEBurYIiRswTOp9j3VgSQJ51S8Dp3twETAmE1x4axCZeEskIUePJoUYXLJQMcMi
6J4wn4y5Jz2KFzLaFqX5TWJY3nXSN5k8ZtgCHaMeZvoJsyHnbVw0MJGLpqOVmWWT+p+hNW5jrhry
yUoXvYk9ernAcZFTl+STjC3Xeif9hsWj38i5de4mS630jimuA6yvcts1MKf0LsdIu6dUN4FGnM/+
U4MUelr0FD9lZcJJGktMdlO0xUtj2NGmTn0/P2RsIptotPAOtMMUrcc5qt4RdIzPOm30Q1YQ+16D
PoFBgbF20KeCrbADZ1GU9JoHs9y36jLLzqfgg8Nc91OQun5cxExorcbvjLZuJEfDRGwKh/ryHQ2X
gIvtXWj+0Iu+TKNVW6YW9nZmoHBipOPAs3LHmx6a2sXfcQGILb5a9jYP7t3QquYuWhBwkyw3U8JF
McBG2N4IPAiU8Lstc4aHMTbbhflKvF0UvM6wpEqdsUzTe8s2cjDF7iWPL67lerKZW6aJyq4YNuSa
zl5zWs4Nnn9v38+ujTyTUK6KndwyD4NO7uEoeCGTRP0uIphchlOvG5Hhd2qXQn0gyOAtC1rrhTPZ
TJwlzxLvPudqghU6R/BOIeA8dJYpHziLYq0UQeIboUCKMji2te2z54v6m0A+Z1G7Yw4Qwr0uvyyY
YXkobfyR9Fgw7G/HtA3hYoCKLlnoOVF2Xvn/9dk/4iYPuiGF8v5ZgnZN+6FLP4a/iqyXSCJa5T+i
Qv9En03eu/eepOsvCZY/P+5PcVb8FuC1FQLkpxS/iLMWiEW6vQUU+r9VqVnWbwKvCo4N27IDYhrE
XvoacB3xGPc3Shtc1FnbsogjAbD/W2Ll/5ZgMYV7iYr8EiW51Lv5pm3bEmO64/9NnbW41MyDZcwb
/d/sncmO5EiWZX8lf4AO4SQkN71Q6qxmavPkG8Im5zwIZ/Lr61A9KiojujobCfSmGw3UIgqZ6W5h
ZkqKvHfuuW1l9HvJjmQ99g3esjmyfoXLiRXCB2nWeiRAzuTqggXpF0JIc7R4Q3kRv99YSMrXfEJD
ee4hPwoUTY3xaSqWwyBhJgMuCz4JmTisEjboRSijUQ19ZyOEfNEsOw4Zc1hDeYdXOKPriQAClC8S
OC6jhQyMtZUNdU3tfOURDmMaAyjbQ8mhOjDgrX4jfxyeiT6UaFlvSX/rv/SktDbJyLIbfWznHdRC
dBlppBnnjuopthHRQGJ+Feu0kA11NVyJCyZmL8SYzl7iyHLHdte1XfbBObhAZry8RXoPW/nKk3rS
d8yLeMEox4ChHQKmRmMcxZglx9pKrqze5MpQXLA3A3q5XjO9tBJfhQnEm4sFYltfqDli3hyRBtq9
kpuGjT4bBrYuiNTNK02YEw8wrArZXnPDIT3WY8W9EcKOt8+ycqe4rSFwvxoXDtBo9RS0Q1hs/kCi
1+2CDg4LRMhQqrzSaze6Gxf8sIFDtOsWIhGHCmk6jt/IgjxmydwhpYuROYtf+NNI+PRhfRswKi4P
dlZBRc4XQhLWzLpPJw5x18tyNiA/0GGoYkQMW1lMM4qxoZScTAIpuG1YLas5Wt+AbX0xzHizaiJG
LzR2Dt2uQznbXwOFTzh1LkSoi93gthhHffBjN2joUxOMl1a9lxFhKZHX7EmFwJo2RHu8g2CrXJ2A
RoFEXWl2RGGLodgbo9u2a90sCdWHs8E/sxsBcEUpFgdbJBR9dhBI9tCI5DTcMAGppAE9U41IJiN8
Clw2cX8uSC3VCsDMYV1/lU2gj0d+68hYiQuc29cwh2tbL+njqUW3FOJxOFOzM6Os1qBmueAy0k4S
YX5UHhZsDHsdU/+IARlcu0dsh8F2WB6x/pBXxtCfXvG4AiCPCZtCnT81Dft+vw0Qe4edHh1dXG6M
mPS8YiSQ6PfggM3PGVHVybPTfV8avGLZAbvGQ1D3ILFlxp3+Ma5D1s7oU3mfdKKaHuLCnNE3k1ju
bUHMHK1jpN/g8ocWH7EjDRujQA22n0WYX1PcRG/0yJxJrUXS52+MQtQNPbNCrWuvwroRCC8tfc02
rUc1RZW1EkYuOb3gTGw3aVrYV1zNI1rGiGCTXp+0UD91Js+EVRPm1nVdMTReM7mb2IUmefyz9UqU
T87EWoVQKsCFXnGNWZfAFyvLFcGzNmfBbqYwDGNzidys0rpVVkfxNgys8YVVco6OJHEdfNp1/sZq
m88N1ch08lDU7ltWXp4KkfWPTSgTjnkT85M488Yjih7zlgwIRJ7lmfhq+zLfYPPJ8lUieiPfcx2z
nvQ8bU7NNKAmw1vgbaheyIK7dEQkQjIC9nbn0SJI8jaMPkb8BfAglIb3q1noHb8emXqMJR2TEFzY
laysoCaMlBOvcvQg2VdlR/XRrGfP5B5K3zZpteJT9WXvkSKmyGkX8cYBEYcCBUocuC3ReniOVKkd
AssAFse/ng0P1RAHXOeAJKmEBe+iVImZAKAlbngk3FXW7cbJ1LnazaJK1in5X4IvHHOFbwvVvPTJ
hPEcKwUNxcDWehg4xZPLTVKsh5EPysojGrEOyN7aa4fXoPuZa5O5ynjo7+x64NczepljTXy0XYaH
ySgTePO0piIq4sDawKHzCF96/rg8IJoMY7WXVmPzGfVMj8d+GrYUT0we646xowZLt6p501squM8n
jQzSxKVoxSTQYZxm6yT7M1Q0d0SpURN2wgBfQ4lsaSdrNpJ32QdlT1uh6NJrywxmVAw8cvxEN/MN
EyghVzMj79sgTonguzzm1n2IVIvnBdbStW6zoFh5dsEYmRzV8ORNM1cHO9ZjOA++8/Fmrix5l42L
ao6AGDH8uCsqFIrTwtEZdlTdx5dSQZ4NpDUAE+XCMHCCOFDGgL7VIyGzKXiaeb7uxCTdsdHu+WWe
cf/jKj6MY1nFfs/5oNkbGrX321bZ3r7IkvhLjp56oaGULivKrpDNqXj+5MyZ4W1EocE9jFlNidkv
bnO/75L5oBdWmu4bm+P9Ko5x3kIOzIZFmfzyTSgoNRXcn5LbBq0FB4TaNN853y5hEYxRjxM493Up
Kjy3Mh1hJqyURyvd8ED1jL3y8yjL+N7kIv+MlsU7plPomVuhkUdNkDuQEXO7pr9OkUY+Msl0UREn
MNirMIWr34+yc7+dAf0Ro1j9HGBALMF3BiJV5QwHsiqGEIu6S3RppcOXBDe4iNmAWF1SebeTK+E4
tcGJroloeG9ygWYSQzvhuoejcSBqugWtoSsMyiZYgBuTh9w6uEA4mK6WfMNHsgA68YLqGBdqB/ho
8bwb+HLaBeshyROw6wf1IYoF9UPAND2IEXEtz5iFT4URmijE9rOhSxCo1nni9yN3Nk0VzlFXjsBK
uxBH+cIeZcTv2AaGAElqYZPowwBTYmFp+I6yyZU4wXzU1ExfjVjYJuuCOUUL8SQX9kmW0bwfc9GR
62T5v0LmQ+Y2W4ipJCwZCEAItrs2CoeTdoGrhBzaDbp6kCvqY5xzv3BYAOrhlzXI6C1qpkftgmsZ
F3TLWSiueOG58gvaJZ3l1opsiKcki1ejP1hFKz/YHYMm6EVmaMceVIxqFiQmCz1GdSQ6tDTWHzOC
UT9tPWrKs5mo/hegJPBZSAVbfiPbCCgtugBqtjGn5EPdKie/tiBspZWOH7Q0eV+DVcT9c0lqLd7J
Ui+/lG0KpEoXIM5IQB6P1gWUiz2db2MYegx2rYWlM5kaK443C2IXXHA7jeMcYZILhlcUZv+gLnBe
nGrEDC7IXnnB90xAvr6p0vJoM49mNesN093kmIS1zDm6JuWCceaCA0ZjTXn4hRG84IKOhbbEXyYX
rLJc2d7Gc42IzQ1pnE+0eB94g3kjLOo4mM8M5YaMUkewp8o2AIEh73LOIF/1QjHahRNtOmdA1wn+
yCka4lHTCuBHsn0u0GSRyeJ9ugCSPGi9xylOrK+uVyaKRqsubjqvUc/dSNAouaCWZjplV41ROhna
zVB/wQatP0vOaotJNNx5WY90i7I87pX25Y4plusmkq1K+WZaWZ+8IHFQOJKbKaFg86UNmneDeVPk
j33G/TU0KOqFXFIv+uV+yxCYu64ddBw4tHgqnlXYhY/D5V6M2SdiwyPsh+H3xRkfjfHKJkn53uVm
3VpYRJCh8zTm3j1yJn/Xx1n6HXfyZLmca4a5SGkvd3YWydzfxeUun17u9Rjmu4S6kOW+713u/tpl
DmBcZgJMBHKHZ94yKxCXuQEtHhWcCL1Mp24ZLDSXGUO8jBviy+TBsHiVR5CX9/XUhPf87s/7uSdj
s0qhQZHtzF13G7ux5XuNWZ1E1phbYxl2xEw9yPkz/6iWYERUu4l9aBLSYS+5qvDzeUYVwIxUNSfC
2RQIckzV3VoD3XrsXFagfTFz/Wg8UsuJEk7Ixu+b/mfaodDZdg3xNyYrTu0t3ij7rEavvR+0YN6F
LNFeK4YSB2bRdeqbskjLfax5mlyzMouxoaLpTom5adpb1BLpODKxJyzembnzNJi9FGsIC93087on
YZu5DnNeXrTn0FouZ6XTIGhrPErH4mkMsm3JIJIfoT2/0cE7/DT4KuQ6gZHTfZfvd7W2TDbQllmP
PxU+Tvb7emrdxBEJYw64PGGTueew3tXRMTDL8TsP1LSVk5Mdap3MxZ70uXXNpcENjmxujY+kRAGc
6Vxn1hwymG9Gs8fQeU4hsZjIEmo1EE8aPsA9wl4F9u7xE6MTK6WCY8OHWaehbE77Dz6+8qpJM3K5
kY75nmNHEe4DtqY0h0TZdhCKji7yVfmNITgMUQ8gYv3YeFEgt9yIhbkGFEu4VXG9kYh24hndbmr8
tFteYP7cdtxfGcNaS0A2AzAIKFefnuqg0a09BiJWEnFTRF+9qu1DH3X6Wz4W7rqJ7HqfVjzmZ4OM
yYouMZ419EFtaARiOG+7IUgL28DCB/0DiIIIbX5amgqw3oOJSb2OAAxd2K4Qn2C6DeiKvZvrtmyO
CkOpWDdeIMmzhDRrMS1dKmuHkIRKD36HQjciX+JWrgfl2sbeF7Vb7gPj36dooYlXDDrJ1BXgfXk1
O1viN3BqqXCPS6kP3Isq0GXF1a3TM22u2GzW7PrtLNtMcdfc18FACKnunIVWiJvPhHb0dusZXlvv
nbZYAMKo/araub/BF8FqMTcEiz+7DNnLGFCc71Y7UBvGz+EX8SCIa4gPTvaxvCKrL+/YWFoQjsFw
DYJ0Ch2PCFlmo1mB/un3qSU/G3YHtylVtiTQClwLEbckQ4kdHkVOvL00X6DCv/h1IyCaM9zuZPyV
9TR0NoGZ01eGoDRPOCFjsjhbuVYdc7vhC+rL6tblNbyN2zr8yZkiZ+kST/LBSt+FYdsbWIVl4VSY
63hiF69bJaboQlQPQdWKXe2Sk+PBuS7LxtzRXeF8sUvW8RbV1sGs0v1cuMQ0ZZcm62qsim2S1+ZD
resTiJMrPiA/ixO5juGdXAc5kyAlZua1kxj3WUoL1oaH5PA5d5JlGrWEi+jYdo9tqjh0KaaOmd8P
mnq3U+ni4ZbKvpo6StvLkTN9SrBnl9A6sQep5rrfV+nt4JrTmSJIu17ZQzZdDSg9PMbY7fw9JQ04
RMoJEtwjdx8nW8qryaDrWDaFxZ04I8hTpWJtcJL/zrSRIo2W5TUvk1flIe1YzaXdXTeSh2grkzLx
K9O2g11eenS06tNOZW66K5CKrHSyOmR8ZNU+cdxVDCimBv/r5c5BrnKtGjv95ZqRR+oPPJB04Pym
w4HfFyVqlBWD+sZXMO8MzUWHo9XmccnkZoc17TAYYbWLMl3edEin+RcaXQ2haFlw2NFy1vVIy/zQ
aW3gXu6nnWOp16EWwOwTlLGwHfueuuV2r2A87zIYl9UootyFU0hfFbXcr2wtqzXbwPpM1EinDwHP
Jpwd47NmWFcFBDwnGvs2Ugt55MTxkX0MBb1TtzdH50y4DkGycqzTZBv61jYojzRgl0jbtzZ35D6G
IQu1DRYuZ0s5Z4wZMcyveFAlGz4y7gvrG2JTYa2UX5hgF2AnjzgsYKxi0Y+PaEApE2tKdofK6+wb
iGuXEHgip+sh03CbdpR6lWaRbREAq+M8h5VxGvWkajdM04jeRs2bBrb1aEvVQtaruXmae4/TXpia
L2pMxA4GRvBTncW+kvz86yJsNw6MRniEGcg2YoiGdW/bdrWz5tT5oM77nbB57I9421mmzPk3sFSw
4/lQ3qt5YMsUB9o5M8ELrABuO+HFCixRgG5EVbmjtaP3YeIB7DLnXNkBHRot14F25bFH4eE82PEJ
a0lxcETtfovWvEWQOfgN7B8HsmC6ldYkQYXbydfBO1fL4CQhJL2LxqQ9SLTO6WoqZ/ksjdx+s1Pm
/U3EmyTs4pOj2mo3cd8gC8jBlpi8PX0gGjSfcF6IX0PdadwHPPsWTHSX4IBsz8hv0+E66it6EVMt
2kN/fypse82GZdy45+g9/YrcJL9NG9vYk4tXm5pF+HQnUopouglNkdtSQEoPYcRJCo7H4DjssLVL
k5i8ncul5U6YOTy0XdAonP22GC1eqv/qXfg9jP78T0/V3/7f//H437qs/h+PfQldOKZDB8X/erOw
fv+q3//xXnz94/wevtf/2L/331n8z8sJ/c8/5Q9TlvnDMBFlIRxlXyB45/5pyjJ+EGAE4yee9DsH
9qcpyxA/aNXFhoWfRLflkg/7Y83AfyJMAyOPJQyWEII6qX9jzfA3H6ple4LLoPQ8omZ8IeJvPtSE
5MhoggJsBmoWkmTcSSva6sT+09H6vaz6yy/VPwj73gIitw37kP8pbSaoCdZ10m0sNTy+FX9Nm4W8
csvKbgIGwOUWzgPXlNojbyBQa29nT73l5O7b4YVRhObMNyGRBj8yX3GVrjDwnMas2uLQ2//TT++/
MXbpf3PI8WXwVZmGhUeOf5CXnsp/UoUFVVx6MlfBpoqmDa/VQ8bd2x8MZ4vBgRfq0g2Uw2fJrQus
QRRoPQXWgkxWIK2+ZVR3//oLMi7f87/sfVhcoFTTbRNVrWeLv8k3c0bdzJ3CYNPMdFHixTyEhW3d
U7gT3IxRJGC6teyGAUjHnlfOx7hcoKrZ7lZJ2qPPiIqfWl3Yd0GrZ4j83OBkWfEBpfK2GjvUsMXw
0xk/GYKte6yasiyuJZNt8saYEFZTYaPXQNsttY1Jeo7pKUkW5h7lvFZUXRSGfS2UtibPvK2sYp1k
WGnpBOii+Ci1+8Eo7+cgXxvcTC0wFZtDiYbZdOBMXAjjGErck6q8aqSxR0q9UvUrbT0HLeLQ3X9o
nIScjsnKYB4rrv2GtU+9577rX3oi9yvucZFfjc7Bap+DoTu4E30Ufbkz65aYRQZ8Gt7N2B6d5Jy5
tk9UwHftaZM7wdGO2nVKztoLsqvJHh5IoBxN09mOjbmXtIz5Xd5uVeJOWw1TuWE4awPUkWEM9rb6
uo/klt7zkdIC1+LvzIZNVfZbU3Gbsl+k6x1R+/qsAw56xrmTnLke91sAHT+xy30Nu8XegW8Pf40H
ra2G+5LUOz/PVaKZ+65FUDNTHEqIcWUk9VpXH5FzYxTqquDyw/XJH3jXCeEdK4tPZu9uBAWcWvyQ
kmDS6vNULQeF6L1Pgo1lfaix/Nk0n1ThMMdjQIEYsQkIg023yD32S9dj7jrbmDJRXCLdGcq7eojb
4GdIyOR6UvzknC69IV833BszZS/YDbqV0QYkenKr/AxNxeUIriuH7qkYzvN6/27wjt8ZeIHePTNm
Kmfay4cGgUCsB9GBYeGDo3eszRgJH2hy696Gvii5t3rhjn0JUyCZifA5rxaxGrvCFfaHGd1YSjkR
iYgufwDw7ra6bJx1WyNkZ8Y4giVV6Jzebeqi90iuOovDSh8uL974yuzMG7tu5F099859a+Rqe/mc
/v+X5P9m987vvfiXb8jbrkjeP/75jfjH/+SP16H8wXqAIvrlpahLdul/vg7NHy7vO8915e835X+J
I03jBwt5hzC0+/fXofeD0nqdQkTTdqSU4t+qQ4TH/9vSXTi2tA3T8AzL5v+svz18l8SNBIIvdl3X
N/taT7v3IpYM6FwzuCW+2pwGJaZ1xpwL5J+RmJ0X4aEe3eTkiUL3MXq5z24x2V9eLUiuoFbaEg+H
ZB+S8aSlBW3QlP2tai5GjEFJ74Tj/C47Cz43XmP0mVZyzE8aBaVrJBuIvEqw09qLz+ZEwWw/x89G
aX3ByGAytPNj2lRqZ+SZvrjJyDmqqnN8VnHxJk4c/SmzY406Worjj+ZsFddIWOebQnfyzy5dtqau
JCBM/eOev2+4qWiy3hqWxlizAhZ/NgSSslpD1WVNHdJruqro+umydTjztwaM/yHf4oWlFSYzZlWG
L1beDAetWBqupc4GtcjvqjhlDD9F7THR6fUeane86TTX3ZVEGYFxmxKlU8oO6TYCntpr9O2dynDo
OB80tNbzzmdi3ibGE6obrj0j06uE4sgmwjFiBDz/tdy5Nayif2p5bX6rLK5fYzlYd7kAMyuF6zHm
U6aPpxoFvwzihz7JjYNHW1rCrOM2Yk30gLjCPnAx7E4t3R9XfeQWzwOiSu5UgplqE8aIN2mxUyp5
H7h/naPI5e2gYl1nqMJc8sHykvzsVGgJLaIIXCk6v+mkepXMD3w0MtWnnINfUzK589rxxhe6YvZp
ZB+7zkg3caXrdz3TmE2Mw+k2cQbv1ZJjdYWoh6ZERgaHrpuzLysVPWgivraFoLXPFIBoZxbBLvUW
nCU+K7tTQM4hQ48xmkhzQkrkwgrOA0muPYYUTgq6q7Nf0oxrNTnfQX3SjVcKUgRzfM97aAC6jpnd
NOuZvlzOAklXbVBShNQzMmucV/wQ8lvouvTsRXODE3qenow506FxGeWFVskwuZmnczZ5wToUvWCC
oPp1yG3aJzA8rDudHxDxQcNb+uDrEsaravYiCoBDCxQmmSZ/dcD15xazx0YZytvC3430e9Gn0kLQ
nKXnPJFYX8orbKodY8fdNlPtPHo48rdVlnPbjDS1kg0CJd/GXkb8K9Q3SY2LWdEkvJ0LTfPHqWMj
PrEil10pNtZMC0/Iqu06l+W0NxBw7bJE5MQF2LIy6sjNAhrWnavrwA2stZ24vt3K1RIj2s3IW6pc
reoEdV4/wZ4a5Ycd0RYNqnEKbRjqqhPpXTUiUasW1DdtoBmYpm6Z+cmdQY3WyTWE+5bG48R7WxT9
nR5zUJBF9WbJ/KNAdmTPzVVTOJ8JxqbbOUjdPX1I1rbGQ8bDZ/kT6RUx/UEfMr9iaNJY9y7uVFyM
HJAUm6uH0IvbFXqUYhXErEDxk34hDj1jCBo3sjUKX+84xKHT7l6icgAH1fHh16kUNw5soF9OhX4S
GO+PzLqsTddWzjf98PRCltK8rjuTD5Nw9E1APPnBdOh4pdKQsPTkjX7DNRcAqJy3/B4XGxcVNubE
uRpfwpz2erqto02WNs2WsWF5HOGXFmix2fVlMh3S0oYo1JtGHhqaBXZBF8y3bjjb29AxESuaDAVR
i49onPhpTympd5uoME7JqN2lnuLyHjjlqpo6a2d04GArSwJ8JDjo+G+XE0wHM++cPAt5qjJ4gXKd
fXhAglPe0B+FGosjtLm7B0YpPoBTW8aPS52jl4p7PuTc9GMqBFfZoCRjDhycTzIuHYQGgAublA61
fhVYEdQqMXQXnZprbpM+wUkFuvw1evmTOSi1oYl3p2U6J9+02WdWST8HaMYrPTh3iATPE1PqIEj8
iKC4X/cTpr3ZlckrIoyZeblLKRKtKNuypA8iqDMPqmGZX5p11DD17/j8t5Pt4w+Nd21hi9vGyTap
4LwdUSfPoqrHdeZcdQmWTfyZRLNN65TMiGgsz30o5p4ITMm7m6GD1T4QJInXeTd8pa6Z7ocy1NcB
oFBUxHeJKfHyJFBG8zIcjWnv27blMO9MvJU70+YJToPT7I/w7CDpc/8NzH4X9c5TwkCQFTV/AKmk
anqtEh4bdG/mib3vJRbChkAGbWEMwrOgJuXRzDAbwfQTNsS+F5KIHX+6T5XDPujDtzblqZ/Fj5z0
z7i2NqXGUTxHtb5paK9c2fhS/WhsoqtaE8kRrMY6OAl7/4B/8xc798y3hurOdaxoGeMtsS/aoHoI
M63eTapjKKz3PfVceVRUr6Ai4UnJqb2hZaM6lfTXfueeBTNKXJ/X4BTzQ82LbcMldO3MjXffSHKp
INAbKbrXzkDAmOSnbkjms56H1yVdWbxms4JdY9GC0am4BOZIeKhiSmLZTHJsMJsrAqEQNoAWRtQC
1Ccm0o9kx3iZdI1K2CwCSGORndtDDYyHSbLCT8zolf/WNxkcz+ZOnfJdzAjwPJjhoK4qlvujic/N
mQKWU6TEhsA2TjYMfbHDB99KRt1D+05RdP2dQAcw1hYZuZ+Iqd2EXpXXGwDeIzA9uC/zEC6LU5pT
2JvF6m7qRbueKru+1rjNre12SZYQhhXPPHqSNR2a465RVEMOxjTshEHt2LzsQzpSOj7CKPmgpdHI
fnaa8x0xySBam1HzWMEdjY1yb1zN7qoVkYvnKYbbq0qOKKGovumPGx+rnFWqBkS+7Sz6dVemmXt3
VO4+j05/W1K7S0t9dG7jmk4CUGC6NV7xVD3VMzXNZpGad7rtldvCK7gmzhOtPHgs480kMuc1wQC3
KjlWhHb6mUTWjvDpfm5QGcTOfmgHrsDsxcP1bOVcnBBRkyxngZYh+iu5JG51ofYMz28hZ+5TEX3y
Qnse6v6rsa3dEsQ6EyxT25CBgS/JdbFamnXeu5zCgoiBinTWiZyn66qxhB80OQXHk6XOgR1tM5sO
eoggp1l7kdWd2WrNNHkr1jlak1TUqQnzkcevezXNDah822vWhiM83g+dU6cVnZE3xycAem0d94O5
ZyAs7jjFTQ9lks1bqx/sWxo6OAknX1bIATYfrQ7/JDZHlXXXkkTyUYtAqBrbZgvVGDRnVnDbgREv
BCBdTKbWC594/Dsu6IoEbJZdDe7EKzpQEitOibimkeO6nCP7qhkC7OOapY6u0xv7isw97QPJKddG
9dYRzlgsQ+7aoNSTptyJAg6HUPx9rdzqxgt0sNCkfHezgq/Xq5fWiDyA35AHxc7Hb1T7qmT9Dsxl
r2ODZAIzqh1y1uQYCF17sXHevRb5oG1iSLengg4oejzoGbHZkfk4ubRvYg75hhOlvEPsF/pjUggb
eKjm/q/SbN8qtedqIfcAhZJvah5eoSZh6ebykgILW5tt0b1UUauuiAvVbzSq6OvUVohMyP1oPHgW
kcNAvYIeqJrfnZhl8pQHPtiTtpUOeNLMcmdX9V3wVEyRuoNIcRndgGWZdWWe0c1gG9QzZhBGVrzU
YU1yDmJyYVKnexYkYtXHbfZVUpO0U7Esfnm4yHcjgmxqLTlBV05iXSHxR6FCz1j+TtIB9U0/JyTE
Btc4YVqNH8KQUx4JEhU/Y3nilZFVqMm7IDzrNObtMO2Js07ga00mxyTg0jSHYM71vXCo5imsmcS+
4RhrAnP5Fx5Z70wO0X6edJ1hezugeja75g1cIrxPURI/lAg+j4PrLiAfoxe+9Yb0K24C+CKBeptm
ebkyoWgSazvXdsSBrSHyRGv7np7C4eygcvLloIqz1ZDZYxDpbOYg+B6KATfdXDH/KbKJoxvD0m06
S/dNH2uTjr7cvB9m2WzGVlensEkk509J5UBr2z+5sqrNjILxu2rBpD0ugIdocssbGcbxudejeI8R
hAO5VahjaXqCt4blbVEZubpvxLepNhQbko/UH0HKHGNNR0mK3uBszPUNYmdjYSkagK42P7ozPNqq
MrxDy/D1yh7q9Bf/omoTeJVzIotvETluSaWz8vtF8+xni7l+5WL88iu8jGu9Zn3F38LWG5kvJ8Yi
OAVReO7TlJOj7l0bmPnWmG17n2BU/MLyfFoPc/ZWuuhioamc64re39yek20h8skvjWY4LeNwYrTF
N6GQHbYW71S23rQJ6shbVwTdn6OIsk+CKwSnIz5zLGOh21kp0UzQ1TqQdpmy5jOKJ0rzmJaVon8O
meeuNCUesMIGWyvYukOw01OVHoO8v0sGuXbCgYfLxJFciC0g63QmA6a2LX2MK3MabxKr+eDXcySv
miNuZt28tqeasFJLZH7wpLWrZ90soHSXRajJL2oW0IlQ438kAUeNpjiHPD83mTAg6JUbb0uF4bWv
NGPDPS/Ys9rJmDbG9V1fZTGpokbte6ryNjQz53veFMlR74mYqT53b7p5snZ4mlnm2eF175iCws9a
hMd47FjLE6Ylx58mONNwHjZoBTzjBUOmP1ouW8SMpS75q5Asj5b6HHz3UXmVui5zy7AfrnIehWDX
2tg/NHZSvCHJ5cNj0iL+WTNh06hsd7ClUEw1Cl/0yV1e65T9WHbe5ofa6iHTMMcSOOAHj4AlLc5J
m+g/eQPWbLlYB89RzReepAqjfqzjsUIk8dqZc/BsQAxvVM+9ZdXGBAxXeTFOB9wx+g6tRbuDUJP3
dNSnxwmS5WDjmKVkwrJ2XW/Un7JOYFcJvsVvZem1n2Oe4yWpKj6MPQ9PvjXeKVB6eUAp4+49g07H
XiJvjMumXfMHWK/cpQdGx3H+QCTJOqeOwbpPL6hrlKK+MfmZ3hm5wRcDPPQcGsN3lSXGhpsQTbyi
128mnX8ibeX5lmn2zA1sEnpNoek3vG31TW6RPOT0gTF00q6QzuAXgs/bOhwsVp6utFUG6ALtQWqD
Yzph3bOoPOfByUZtQzJi6U0t82uRi41Rz9i+QpsnVh/Ge4jUFMcKwXivLR9Hmb4Tf7iep1hbJUP8
laZWcnAUrWV9bfoUaahqZY4vDZcfyAboZn26xmbzs1SFdiT1F/3eT/yfnnv+X2R75EVi/cuJ5v17
8t600Xvxl6Hm7//VH0NN9we11ZRy87uA1MBhyfS7DEd6P9gsOYa0SfDIJdDz54rPFD90HZkjoBuJ
IsNc/qP/3PGZPyAKWf/ZpilcokH2v7Pjc+Xfk0S6obPbA9X0ll0jaaK/bt4ggUeN4rRmK3KZZzst
WMKQRmZz2mu8Uh7I4RFYaUbCRTvvEqNU0piLdb6kK5vao+YsN0L3ZPSpuR3M0bySyA5in5sO0UyH
fA4VB5fIZtLlRnflEeTsLpHOVDlDu4NPZhLX9/DhtNcQgu+WRGhXD+SG2ALJQ+Q1FSb1Ls+rncQE
/TbHI5ZcnWB4uEHxxgkQexeEvCiC8Io9lfwwleo2YELDbuw993ZOdcrdoBw3wE0pAEZabirVpfe9
Qdq9N4QGebmEXUUWyI+cQkqKpUMc7YQYCcXmNvDYNrTIyvbCSV4yGufQWkKpowEaUGXsnD4fH5ol
YwsFRNxWLMnbaQLZqUCw30zXGsm0ggWh0WlqQTD8Et29xHiRFuLfzi7xXnmJ+vbEkFHQ1iQeV2Fh
Vjc8eBUPFL3z3qpLXBh1HcROfIkRD6laYgkWxAm6APvNRfFFqHmIdFoXPD7nTWNmdLlcAsoaJIh5
oqa3KXZNQfb4UBKY8sl3dC9d1zJ0IG3T8C/A8woxx1jnLL6K5MNsu/RqTqzqlvmc9RXpOv2MHSa5
JWBNhnoYVXGswMBLHAADjTvZUD3nTUFm/xK9zu0O828xKThwgQH8ObrktNELgfPQRb04RazyXpdh
ojZ8BeNzP7TZbVGp6C7Vm4Q+O+L7lPARBzeXYHjyOySOC8JxYc460uPuEiRn7NTXR6kPuubTnkLW
vPsP9s5sN3JkW7JfxAPSSSedrzFPmme9EEplJueZzunr72KcQiNP9R1fbr80UCigkKmSFMEgfds2
W2ZEkzgYDhF0eU2j+9dkuuVh4FxJdHjeM2K6KwRhnIt1DyYC2O5UrTgcsqSseGgE0D6WALx/zcJf
Y/E6G8aPxO3UBR4CbI/4GqHvr3H6yJ8oDG9Td0Bkagjr7JdGPqaxgZl7212z+CYcZtiMvr4wj4lF
wVEvadIyDdBT0XP/pyp27ff5fA8Rzc4ewWuwEvPZSMYLAsDC7HMeezgM+4z4LAhxCqw+sP6nZ89b
GAJW2bjfWNC8jXVlDKC/dac4mFzIceOCjidotQVS4X74YQL8ILdI061LSgtBLvWaFlpYDiA/atEc
lT12yQ7RQe/MkhD4emDJxilu6MJH8hmkEOoo8d9NHKxvCcbSHxRJO2dv6Il8mQtZIVkYC06p3nSP
fxGSPBPF1FnOlyeJ0tyFQK9cNKoF2OAv7Ia6mIcJeLN2Tk3vLKHujLltx4ii32UZtT+iJGSmzK5Q
iOYKiBDprO1DOgnAEaFr8p0Ds4cKELicb8/1FTRBaBqfXGT7bDlH16fjY/wnmOIKqcBROgCoGR1r
IyoBxsJXrCdXkDH5mHPOmYhLEpRir8gF+1U6Rkx8YEFiiIWOgeZj0ZYFMaPgE84MjUnoG5tkeYvd
Xu5Hk/qkyMd1yFYC/kazkDjUFcqBDRpAR8hR89OYCxuwotOCGy39i4K9+sIVhcUuhyUZXJEfPEym
j1RP2S3wXZAgDZEmjyVOKPbS6gofU1n/nTS0V1PRXK+nhS1SXDEjOrE048sVP0LR1/zEzUbmz1Si
Bl8qMdQt/nzMFy7nh1MLqP0dxBDrJSpZPNzVWW681Qv2hLC4iQaPvk/IvYKLwtGYeDaf74tpivJn
Z9c+w/WVqALpMFWvzpW0oq/UFRZnk7d3rjQWQpw0CkDgtcVNswBbvAXdoq4UF2vA958z4GycK+Wl
vQJfIL+EHQgYe4HBdKLSX9kCiNELKkYs0BjcYMaTw+0shypeU8gK5wGjKYkMsYX23n9Jn/axQ7zA
aNgIwKUhDdqz8eiA1SzYmi7z2GlY5C62Fr3vxaEJOid+Mp18lPzdIH5FbYCCoyOV7Xwe98d0FFBy
MK1y/hSDaf1Ex/TugM7Zn4bR5/diskrcAKN+zWD1xPd5xBKJH54zHZvwofhMFkwP9v/RXusF3gMe
hIxR3JRqS1IPdbzvs8F7DhfoD5wIkW9kDuNX/pMK1IJkXgcJNWEO25kOZmsg2RGUXg4HciELyX5S
NeuB4F5fyUNeTFpmozqPu5azwInaBVM02GmA5Z6hSOR+tnYWnFG6gI2EIcQh1H2EKWyJ4Vmq31YL
CilIO/3RTkguqzBfsITk8hj7l8+hsVL0rDD3N/YdyIhHDVtuY7v1WxkCOwQoRmIu6fCcxzI4x/iG
ASG0zs8xSsxjCL8BQyYpha6vpo0zxYCfGF+D2vsFrvBHFzoGTtoMKn8A43mtkayTlQxH561LGbi2
ZQXMBEJcCzSUbehgHx1XovUieSXVcXAgFMPSL0Fo2oYrWT7hKaixfGZ63o2NgtQxRupnWdYl0S+r
s14juEA0tptdLA8DmIbxduby+RlQg1Wuh56jjhNBY1lGuZKkJCj/2TeTA6QsYyv6GnBvhPSsx05t
gICjtGV2nBxLOJDbiJrtx1TCVpJ9QBoDJ+V3rmLxW8VB95Epu92M89T+MGrK6ZAWnHgzmElJe5cM
3FuPzcqq8KldY4tAjefKbAidXqakNIwXB8oiLepDH5drleq62Ig67ufbGmaV2OZcMDTN49AAWBF0
trXtm3A8VrFh39YwFOhdHik72tLQQ1GAx4x59Ge7/aXqgEWSm5GVclSVHfOcvN+aO0KPZ3w01d08
w8chadz49KNW/sUEtk2rq6Vpja1amwROQyNt0Efdj0p0cHMJi06fJrCrZDM5mOfXbH8xtmhY996e
YQrwcWcCUDxSszTv80lSyUNDeXJDJFqA5kptb7GQu6c0Bw9WiZLxFuJs+8ohCjZn6lviu62n5l3T
+HfKsNnT6yMU1lgeSuNt2PgL0pZ9vLH2LBlYhAat5E57WCdXtis7AIRGNG+stGvcCyNYjunYUnjr
udnBX2qWpx8DOtyv0eT7iYxULsDOWKxHzAzY+jHpD7Spvtr4rT08T3F5VEA735Oh1skBi2b90ONv
JxMXimba6pj/5YX90AQ/3QrCmzFpwfnZuLm/WA/UD6LK3cegbbwKGczt2ID0M1J+rgXXCRFDfmc7
0+aub5NNg/6BkSuKh5XBwfRBhnI462CJr9B0M0crbuPylTpAmIphGQEnik2As1sV0XH2Fsqk/EX/
L8m3tJu4XYQk3ZstYf4ZQpvusi8OCsHjRC9ueFFgwGjYqKka4GPjs0ZJ89iD3lcnSCvcoCforUnU
vaaBY7Hw4hl9pymFOxe6J/YNjvVXrqX1OKS0TGysys8eonk0XkRt+q+iH/Fn977/S1Ok8zIZajgr
KY2PyQxwvgZ1Mj8MZYJzyLQ4Ljh1JxyMTG0CO8gh3TgQXDyasCjfyngi26R5xrxhP4EoS9yAeEKY
mUm6L9HjMdn6dEKtQ7urMk7KJnsfk72bAgleBM2BfUN+cr2etEnZR/aRGiQ329UmwheSBE83CFJR
Pe0DlmTxae7c9Cy1M9VH7SzslTjJMMhpP/N/9+wUvtsGYXIJGhZi2zJLvTrJFIF8i2jvtfZmBKB3
zdUb4VwDXgMlDXpbspP4onsqvOinNL7KpvUOE9CoJSU6ZxLMe0E+csQ0x7izwWRTqnfWBJZ6lJC2
WMtzpZHyppVPEucO9BfVI6t2Iky9GzoQWN2YedsQzK2xHwvHPdp8nrgwZ1ruLuQ6aALRtkPX5wxP
iGINYMArLDjPJLLr+ZQGE2FqnzPBfaatucDIDwRYXODjw/aO2OpTtqxCvcW9SnHv2s77nkklK3Bq
xbDG67q+ieaS4xFwYnLlwqpy57ajgwOjntX20Z0aPO1SQBUEwyFpWROMUJcfOg9KxEVJziQY3qnv
2Pv0ctm7dpyj+MhKMYbNFlZNfpBNwJofsOnUfuYz2ROfTBjlf5OWwScREsomvTG0vEuYdXYAKT4e
BHmdvoXzJRriuWtLTDSkEMMR5qft9m23brpmoG4zqBYejZz8C4/vejikytInZ8ot0HOyJQdJ2dm+
C5FmOQa641NUAPQ7TjGA9V2EAK/oD9VhclM63uCt0bxLqL2paHekM3tj04WDuwfR7AckzPHE7KpE
8eyioAoXY1HrqRZgpmhcwbjpgqKkXCxrP8aU43ZVj1N+k0En8UAnRZJIpzt0qjoVJsTzQ0AuaFp1
MveiVx5SbnuETVpwzDGH4cJeR5lAdOK2z1/AKTnJD4vPcPkQ6m7aFG61pFbx/THatW5/n9S+/5Fw
uAOxNuEC2LT8OmQRm3iaD1bIZuYcGWwItiqQnsOewOt2HslDUtyqMc5xnn74CYuSVW0BKozSimei
E1Sfhj0iGGfmfJ8Q2UsIImkgcykVK5k/0I452z38stGtok0cwEoTXc5jqqAD9DeGG0McLS9hMkJi
WMpRsmj6nsLGtrEcWqwZ8M6Qo6qBQ2oLypV2Q3uJfuNJ6u3acFaDkz3qsOXeRKdTeqbfvRCcWgKc
JoEiDLMOjbD/0XpKL2UBikx66TbEEidG4ewQtw1RsrafwteWzlneD7XsRLI4REx07UzcYBDrww1f
bSKzF71pbOqk9GFm5NFIa0JjjvsxJD9Uc+vH90+654W8GRNTmlTNV264xRFMkrHOXC+4eFXWLvyX
2XIpSJAEc+dc4nnMQvuRXbGzj6skPyZsVmdaDHg5XDDPZ67L7plX3j84FHfy9aVnldthbo+VWYxf
YYsLc5ri7g0faJfsQcuJU29bSyWnP+FuU1b2EQKQq9YpiWtz7ZWWmRO+khXRQ8i12a2vNWYdygNy
f2fwi5EhTf2zYjlJ7h2+NCkmFQw1+n/nQyEP3HrTAf+HywJloMcoDMQW67Dvbv93/ZqLQPr9R1ri
L8F0QQ/9v6rxJgbgojT+x2GF5688zggq/NR/Kpd/fdk/lUtF0ACVEeoYTApfOX+kE9x/4KsUWOLR
IP8SNYsS5g3Wfvsfjm+CTjJt3/WEkgiOf0mXiooaKfgq0EVAaYkX/E+ky7/3eAMvEsrnX5LvJkwB
benPgveGmLB2R4KI3NbvLRY8q9SoP3OHSueGE6TRpSeHu/9Bt1SX/PFK/TvBAJcgxb/ylxRQKFdi
BLUVlA1+0X/95ghLZjLwMdtamQGme8GGG100rZuxxWqOOQ3NIhFUOfcRlBwzBrJsmd/cakPavqDk
bqPOaXFuUPNy20s2IDTGyTMTPqUJMrZPdcNnP25a/8aOWzahzdSXhwBoz0R4EGRLU3kPHLtlelMx
MKxr1322UTbWHousW4D3UMNnHvl3TslOdaPd9oajaxpj5cepJbt5t2T5O1avrX3rwal4xmPA2aWC
//9AUay4CNUazx6VmfhAS/9usCGCepS237BzRDIzjOkliekNrj36AWhCoDMmc/WeW4o8+2gE+yVr
eZypN1/MlYbB0Rjod3pwPFiKnqzddtMYscYPSljRPtec40iEeXawD2POsFi1AJpwJFWfGOoSYLai
Eo9IN7SJtqyIuIMbvGqtPR2mPmkvHeYuprM6yh9wnvakjSfzAyWlZSqSRjGtTY4iRIbFMLwD4o9S
2D5D/lTY7ZuuDQnfHSOpL7qzKpyzT8rxECZNe+gbRXCrNj5dbfo3pnZGl3DfSFe2brVYpWlCCsxN
EMgOcz6OtxpxiDcrTc+9Gqm8idx0L8AF6HVSq/JSsG44YmRFweij4Tmke3vPpE05TcP02dIKsp01
b3drpeYX7YQ0rRdVG8Bwycd9avh3OWSaC+p6uEtJmN/YBodW4cmCuCbPb89o1cGCR0pxqPIpN+20
dZniIarWcCi9NUUQQYXFEGNG1uQzMBdqHUgA0lBjCPg0kB42bqfbNyr91JuXpuZNlVRc06E8K6vG
jrtc510YZ2tO5c6NPTX+cw8uZBXlutuQK2y3NkxnBAq/QoerCXPyDrbPHiZQfyUJYj6psPUtAoBA
1ugi8A18PnCNLCpROGd9Jkrb1q6i3oF2Rgpv6k3aktLdRtYg050zzzQ524Nw+l0ex/OtKjz7R+EE
3aNpF5xCvKTL9lOB+2SwA+8XXULNkze0/ssiauPmi7TxCX1xvMQ6d55tvIvWZizH2rt1IkBaW6rT
y4YxXAZUihhGvXchiQIIAwkS8oCqaSPp0nD4UU0jhtCexeslaazG+lSqnSAayWntU5AJpmJ2kx/t
2GT3Q56wJQ919tzGQkLQr49tgZJATu/3vJy2CZIOxM5t6oboNf8Zj21ymEIZ38A+i47ku3FoBRUa
e1jbPfZWgFmmjHmk6tHqXtxB+N9JYAdHo3TnjSE5AhTtAPU9bHN5SM06qTcx5sibmfz4doKD/Eam
iwW1HizMO7P8Cua+2FG0Ef8WrmWBgB8KkLK9wjjhW185hZf3lqYyJYgCXsJRtS/MceU+66mq78Yw
f48SWb+WiW2/eBSXHaMW3bviER5sZLoQTrROh33Vthlr8yIb2zWldVbzjYZXhOfIbkL2v0mmnBeB
oYVWbr7yvZkpAmIU+h0ENsxwZzL1vLWAycwHSAQzqIg4mbZwygDwRigOPidatUl0w646NGvGDvpM
3VXLyrnZjEkff3GljdOqCGA1Azj1Y3NjQDjeEqXH5xBh7IT/Xw0En2xb5yRDa8+/dNWUn2Ybauau
dlLGFGUIRSGNsj6lIX0Utbk/1qYXvLU2rJRNYvQD/N5iiI0thkc+Nj0VlF+cmZcqFeyiZ+oQhled
FJ13pJM2DjjlpfMDJUVLNRDwqW0AQu6rSMbqtsOaKU6Ei/1tb0wf02AUYkP9QbAv+sx4KrRd/cK3
S2ZmLqPt4Ak6gU2tMQPhMu5wLk958c7FjzkYGyXrdwQPmOsUhLA70rJGLq1JxmN69OqFctvV8E2d
obI+xqqnNrSLUmuXR2bhrEAPdx9GgWl468EOeQPRbr7XMcgbs57Fd6w7Ab979jd+Nzc70Cft3YDC
/rO15/IWg6yf4OykcAln9wy+KZuDcj+FzG1r/lp8RkFGSgsrz37Gp+siSzh86Fel09UMtg0/QJ7O
6WKmnFEbBwugMrghOsJWaZtWWNC1w/2CFo4425fpVHRojFLna0iM80g0b6iMPcZtZazovGw3pP3K
Vx49AWwfBDi9Lse+eknjbj6nWAt2vGWYtBPV0VaVjRdshzzw0Mb9FeSI7gTLi1aCLFqKLCihL+45
kmtC8Xwc8Fl4mFPJdwNFjSJ2+Z5NCwU1BRzVMcBDSbzQKIp4gfhyzv162Ecpis+KvWxSrPHPknby
Kzt6NCy6TRH75hZmWj+YywcdF+PcNWIbmr76Sd0S162e6HkCPeq3vxs4MshvuAfxwI5gZ00GjbWP
6vWOH8HZ0E/SPRgpibjOHe+jwfIfATKFr1YnoRCLyVsHQPByKgcEGkhBZi3y/ObSRmF013otH1vh
Gs5LBi3pu4fex2cmbjwQS+FEZH9BC60VI/3KdmRzo+boQiJ6i2TBA1nXgELMsuIEIaLnfqSPCEw2
Xxw5dXorSgPTHqHpWwf6AlUe2Lsfxw6iCIKgeY4C0AV5noNgZQJjDl4Z5YwHyqcIzwyLDQfYb6An
csMIcwesylzlCyzESSq+H1/o7vog9054jMv9nLpinVcVPWSVPSwLjELdQ67Di+G20MQ2qaBzgsmt
Ks+AbdQ7Tzk8MSUXFecgDkK/c8gUt+AIxuyoYpBYrkhcVEg7hiqI1mqGRxHl+KlE6kBEaXXzi7WD
6vaOirtvfW3kzK/tnH1DUScmRfOSXts7a/qwaPK8tnpmCBotRpE8GI5LwGjhls2c1lJajthuTHQe
TN2s10CfWsWRT/I8rHSs3zoMlG9kkCiSpuUKXZOjirvq3AWtbirlxNukNt1vEOXegwO049WaF5h3
3cfpiRBTZdONyOlr27QmBVBh3o5bizAefVqT79/XbTXfpmbTH5rCc/45KZpCJHd26Kr3EcuvuR4t
jTSfKuIpx2CMHZwvwMl487iBV+tlDxOvoGI1v/wUayC0dJEDFB6S6YkMF8RDTuxId8WUmPJg0op0
0YYftdspLMtLlOTV7w4KKbf4xKLNg/eF3VdARxwzt+twE8ODKttLUw/ZcFfkjkvPDnsTcoOoTPPW
CWkCuQvpUyWbGi4OnGqaeYGS1I8xZXEgljs5ReKpbwKgl8DowNYnvRD9yXfrXu1o3uXQUWb+Sfde
pjj2mCMnYJd2G2ty0lOFB7vltCbUMw1y4o0uFxed0U/6k+XgCczpqb/M3HSoCeFW8YJDoC/O2HiI
GpjxUA+Icvg+Nnj6Go6sIEHO0OyML2XU8Qitb0ZQ9UyOUdtBFG3MnkS1/a4zXZbTvCd+c4qmIHjL
aGd6JfgILQL+sauOshvCY1Y2GpWpNn6ZVhIg1FlXDLZRHKeRIX1dqih5ZzVL5RVySffGu13d0L4O
RWTO7e4ouZkfgjYT59nBG+HLoLvkuHyJ0QTL6M6vvp34ITTLVWe8rXqaHjdeRI50lXA80hugUPK5
MwXb2P9iHrP+nsxjyvRNy/VofpeK2DyT75+zIItvOIWxAw2bHhB2K+GPIi6eEJDebT9/ErLgweph
LOSQ+dliQP8vctm4cf6Fxrt8e1L3ihQVcT3TXP78j5x4GrQiT8nhboEA1SuawooLL352/s+nzutE
+2f4e/k2PulvG9cP/1wrW//4NlM79wIEK9D0kGWS7sF+EEC3DXVwItIU67SvcrESPvChgseTIFcI
GHdlsT98t8ZJ0gBT6Itb5d1jSgrnZnnJ1i7+o1tjIFCBEaVax4sCSvVf4nX3CLRl8P+jsf8tLLVF
Xl/h5SIz+h9rMswhoKlT3GQ//xRl/vjav4QZyn4dwQ1bofIwpCzlvP/0lHneP2i7tQRECc9Si9fs
L1nGtv7hIMeIRcaBsIDd7P/IMkL9gz9QLolR23Rwgv2PHGWu93dtxMKYZrE7gB7hcOA3//Zh5IFd
NfALxD5MJI4yD2gCqHTJOsEPPPnVToF4sCYTBA28oHVIE8O4NiESi52Nw3o3SI8ZF3Yn1zPOsIAW
SpCbLxrPWcFdfA35Xm4it86OHmafHxGnz6OZxDb38S4kGebjosD5quR8NKZ8Aa97sfkYZJa9Kzho
3gm4ZausBuJD6wQ/BXGOaJVQbrE10+FgFFXzKyRAtWajoIEC5LG/yXxL3Zqdji8hiPrtJIjjGp6u
d7mwoy0+7XjbQmw+07Xnr4k+Ui1oJcY+Smz/Z5KzxFwtx23YGQEFVpM2n7w5jqk7cus974xHM8eY
eisYWJAirVhsTH/JunG351id0b+1ikTzlSmLH3QIifDkqgYzEfYT01Xk9GJlSa0eBiA7G7euynv8
N9UPE0raLZnQizO7n6Rfb+YyXowK2WEGHdj33nmW0wNdQgmHV30PoYDYTcW05CDIQyjbz3CTj4NK
RmJjbBJAaBp5dVOpcehwHQfucyc9l9Mn5hxzQxj/AUrsuYGohLpNyCQoJDY5VSqeOpwfcEmzZe1X
hRblFzet6YZaq+DTpzv3mMyqup9bi9DlLAz3GYRUfWqSqYUnapg3gC2ymlOtzYFddanJLW4p5cxH
D+t07R0ABPcvvS1da1URsUFLnntCOYaFEU8Zx1LUxndrd8Fap1IwHrH/XGl6gt8GajrOPDwGUJ6R
veYwBBICgkf8k4xwszW5Kg9+VPLULeGn7U0Y5Z+9FC6JR2KCGRrgj6YqPzqcPB++z8Lay4v0MU+d
/h6bi/taxmC3WY+YlyKuvUtCV9GmtoCGNu14CcoxvPTmWOyQMo2DD7R1H4SYwTxjWQKQv0TEc1Ku
aJptuYsHVA7RAHyTjc4yf6SC3icvR+CZmxLYj5V4rx3na7GmaTU6lnU8PVGDSBxqaK17YWVYrkNZ
9V9Uow64N3CC2TMbUjqYus+BoyaV3OBp8Yraz62pMHSooRzuWDg2nxkobbq4khlHEe0esr4lUopJ
Phjoad44mBrA8KXGNrUHvCb0ClWA8NJxj4ucb1NId7jvXTd/ZaXYDKvW4K2oKbmItm0oWAEVvV2e
55DQqc2K6eQlIP6MmHGG24XFopIUyS2BZkhks4Oi0s3dpXd98360UNnQFeX0xIbdOjlpBwbdwfr9
bfoivMO0Bf9IWInY9U3dbuPRM5sVGwvjnAfYJpc0bGnxTYvkTsx2QWXwnN63rPK2HUy3bZdZ2cbC
vHnw2MfV+47H5IOqhuBOeU51YTSnQLnqlrpoj9AmPBE2vL6bxReRBGLnlZN7gZY6nk2U8z3knu6C
BxT6U57ln7LKhplCDaCWsFJfqsApgahXdvBssXL/YYmZKryh9tfpVDdPsqjGDV3dVCJkRDS92OKz
NQ15ehuE2fCgtDU+TFIONFoh069xk3sbbqlby+sOBCLA8LGtvqQyMA9+KvtTBzHq3nL9/D6GafZa
G+7wytaq/DXYFUovaA9xCGZlPHmTFneULstXMkUGscZqSM7dkNBARzHLGW2eS3pRr4o0gPFt4fuU
JbKaUY3NK3XIMRdFqkluUx62xX/u7hJgNZBr0miHR26AWhCCa3MaumyMVoRPjpcHOwL04MVsNUzH
Em3sEubEWyd89nvld1izkmbehCygjkmj/ffCaLxd3Qr9WGPDvOc/g2PVDd47Db75Pqe2YEd+ub4V
LkiT3s2KH5PX9TvHEvmn0LH/6Sty65rilr0YDYoU5lRwtbsd5WwNcVP8GuLYpKC4rDrPqTfP0ggu
cqZPFUjrZS3VHIkl5fdsWct1ksbf7IkVcIL2hLrEPZ6nWh6Un5U9s/6atPcYskUOczIPKvLCZ9Sf
/hfgyWHj4mbcs0suaGzRora2LlHGxX0XkSJunGHYQeleNNjGri6VhwIxOybtiLqkzm/xLgWkIg8y
iXF0Qjl07Pdmak5Sx8aNBUI7DxUDRIypxGiaA7fqLdCFYp0nwJb8Km+2FIACLByzoto2DdGMFcdQ
Ozuldoe5g/ckx7iFwgT5R1MeiV/4GGnK0yhwD4ttM5IijZrm08Rqfuh1SW5F4QhnFWGC1WlI/m9Q
auatqAdJUjLvH22jkYhtYekfRqsCxwP/A6zm6K+G5NGbIdtkuW7vTWoCf1SaLHEAX/VHrZDlxoqX
B5aGfM5xFnLFVs5N1MIQncqg2lhtMZ2tQdCmNs8Htx/nPZWiGcfg4GfKQyvLkeWIPR6GnGidKowD
HM1V5zAMyzI4AsQqSdEY9mMrU1b4SWk+OVPfErQzkvEu8oqJlmwlacOREQAPtxjRyjSwDAQR4/cY
NO7JEmXzyuejvniqAu83I6/l+Dx/kp/pD0pUiBKimr+aCEq0GRX3QWoRxKITnvRnHjzxBuS8pgKn
a5026kuJqds6bR3dWuGYwJ2eAJW2o7WvzLm8zyCgXto4zt+H3uy3fRRWpHYMfPW7QSTtAavQSFs9
oavfuWEDpzcMfzcQGAFMYDeweEI1xFtcxEScXLT0Y+EUxqNHtioG7uj0B0odtElAtnAJCWAUfeR8
ERc3WWgYEWzbDL8Ut4F1dDRbayZjCQxjuPMpPDoNAEYBTtnxr5w7zoTqg+gIbR1Lje3GL3aeJ9uE
4y4+Nct6bpcWtZECg47/9uxDHlAMYCfCQ/eJzS1bRdZd+LcOJr3R6LRUCqF33xnYuIoKGsfYtEfM
ESX6OCkcZcIA7DharFs8smtwS+PPIR7H30MlfraxbD49ygjdCp/PSuJDvsOD4x6Qu1noQGdcAysZ
Lp4NIbWuzJ7JV1AGEiCWeS0tBUPG46k1tX2ya/Us5iE/t+QvtwITGzu6ot1ErQf6sWpDKpNlsYsI
0Z6TohjuYPgZ+6AcjKcuzbv9IC1Qs6JwicROwU9sHYDOmibcF9Fs8zbo/DmWpXsT2yq8N1mdEwvr
u52R5BZmocx9CtFFLnbBo3OdiDnZSIqmQeb2fkh1qNfvWq9bUDRe/YPowbhVRhXcY5FDMh5KNkPc
olZlm0gib0h7RhbY27CmVjygeZOGYoX4GbHQkzR62bhJ096Aix0P3pbm52iXUJaJGMkIfIRqjPdb
Nf2W2KBzyEfXekL5jrZNZcobbYjgIJFK9uk0WK9AVQEvCFztqdsPxzgLynuPFKK10u6MOTc0jfhd
xvRX1ENaseSxcfuIOLxzQKnSEDA7rzzooOG45M83SGVi6wwqPcVWrnATd5TahVXxWxWpunEB5r/0
aUEyHGcLPWOeOMypI4/4hJwd1hDzSM25hSEs8HnU0E6O3zeF64r34dKa3YM0W5gFFYLd0juusubN
CMoN+bHotp+Mj6IfcAzSUPECPpMQqlryKyVDS+V60KKFOZ7ohlgkAtqeVqND54FuMey6OjfgnLQa
sSrviN5iJXOfyWFLxP4u4DcYvRW6QnD6Y7L8d3bYwvk7c+/vcxpD5J+qBbCJOWG1FR1GTFkrw5aU
APe+d8K4GO8E5r9lk2G8UHQyPitQNu+T6qs7Ec3hWcFt+QjigVaIngM++WBBs4WequfR9ucdK1c2
dx51xjkBofuib2gmJQxJNbzDOwBvzOEoYRDyfndc3yA7jga6DkRXkE2m9tsp0rNCX/0mehRubGMs
76gdag/gzF8Rk8GFd5WE2+xbBHW0d+4scHv4jsqNx89+LYm9pT8xJd9uN3KT12o+NpHnfXJSD/dS
9Akr6+Gr7CFzdvrJ4YQC6qNIN8gv00bO0fTQ6+JCocR8iXs0fZkqonuYC33IFxTwurtsbDBNmmEj
f9LaQozPcPDPrKecQyHinlW+IW1mYlPFVN6tmsjtL4HnTceo5rQLjE64D0CB+7sW466xIyIc3FBv
Ln5JbcY/K3Zym8oxvO3QReKR5oTJX8HBW80BhoxtOfXu2em0cZAiDTYtHI56LZSO5+1UmuOvvh3f
24hYa6FlvHOaHH/xWNNNye5+5VYSxRVv7A1oVAV+Im867PtyxhbJZmOL4hffzaBFdkVUiBPgCfc+
NhvaXuyxjx/5oPvH0R+HI+bq/jibnLDhyLS/iaVzFMyHYXzG5SeNNRb5Dh5pXQCdUpZRXsRyzu6v
R+7sevwWy0mcpzCH8qSibo4XUuxMZnmcZEMU3dnLSd6+HupprrdO1vWkbyasPPRy/h8M1V38ZSaA
leTjpmJO0FlPFQaqr7prk4FdMqW/z/kyYDTXWcPlZMbNaBlB7Os0opfBJF9GlPw6rQTL4DI0OARy
dxBrFU1+vbUxCWzDyECVv4486jr+WF6DUYBkMFXDjWudxkb628kBTLJqUi5cPwWPHErL+6rgG658
1g0rAcbo3oGCvZ8wIM7cxJi36CN5qhoHb4FRPRoijoH38ILZQDEfc2056xIEOzwioLUYwuL55BEE
P/fR4ronoEC1b4K6TsPosqLkfVhHFH29iVrKNb0e9r2PZ/K15j2YVuYyMqbL8AjFkzkyTZr0Jko7
lAKGTKdY1t3XydO9TqH+MpBWlp3u62VI1cu4qolpXWom2GoZZak+5W1fxlt+yGXQZeRtluE3W8Zg
dxmI1TIaSyNUODLqDxbc6Q+2cbgLl1EaLHTxSX93sVfXSXtehu5oGb/9ZRCnqIqZPFvGc9KDBAWX
kb1bhvdxGeO760TfLMM97eTG97wM/DAwSDd3/CkJiJztzKIMpItIoBe5QC7Cgei0v/nP76jO/xWl
ZM3oO5brIr85rIMWx9If+izwfJshYQExdMo5FWl87ESgWGgb/lYIzunCt+W96XSGtbJ8LOIy1nLf
C8/6N/LOa8dyJMuyvzI/wAZpJI0kME9XC7+uwmW8EO7h4UZlVEb99bNudFUhO3vQgwbmYYDJh0IC
lSH8CuOxffZe+92ESQK3pwrU1zz0cLkKbz5boWPuQ9S8NwaD6sWFz9KnpdniRVlo5XbHx1bTaLIC
vpXznmYujJVgzg92x6WTfXPmBBuprOBkQlXSTjHzt6KdZ2CyIrT30S49EQHdyYSE1fUgy/+cadmf
8w27AGed9+fcS65HYHQ9DP/rF8whSfsfdPN/fwIxTON7EVjC/qabR7CsZ2+aw71eBT+WN/et+bDe
msfx1jyQPi3vsAz+13+i93fTGH8iCn0UXNG6HJXB3/5Edr40LnZpvB9kGH9SpZxi3sVzfZtP6SJw
CVX1uZ2bDsaQypNP+pa7bQ13/XtxfHh02B/jXZmBHEd2YKIGBOHyDBdVHdj7xY+tV9PV8ok0MI86
WVajs2ZFFea4eOf2MDVVcwOvLT/JcpmOTDKcT8gpKxmEj/20hPuB8ROxQWe7wnOa3WzG5hxW/vJT
jll8JGtTHIfGD/ego6xnnY7sxyjufEj0oM7i6rc+DwzEP5JILh/eiK95Q05x3GRT2r54yr2eX1oU
r39e1P/bqe9L+qutTPXd/c//YJf8d4Pk/2PuSRR3+Mmsjv/y8fpPRZJPv4uPUn2UH3/T6v/5K/+l
1f/pfARqzO+Hqx25/F9avQBMiYgfwYX2/4Cc/2mijKA/8ymJwLGg89shs5n5V5UkBoUoiqBCh67t
y/+eiTK6qvF/XSpJ33cdKaizhdTleuJvh1aah6lxs1FhGOgeJT75g+4msa5wUOwiS4+/Ad+W0Fqi
6NBXwDtgQpgd0FvYuKwFd1EFxGY7sEWiiBmX1oPBV75zAAQeu5Y7WVKQsmFokBduLsERd3G163B+
f7UirnZLMWXcpSin/TRpbJtLZnvQqdoplW84xJKXri7NpalabFn03FLY1fZ2eA74rhzTcewIayk/
ovAvs68w27HFbORZAxSy8VecLi0LyfCMAWR4k0JDHK5qAQvTkenCRjrwDq1k1G1Y2FFF13qo3abK
nkuNurcuG9YW5HmmqGW2C61yXZJqueOpiTSQedRAb6gA40oTh2lJwDPwn0v07ffIDhdaAYK0O9ZR
Fj+RG4OiIewcpgrZ3eR2ztuRLK81oXR0iZvedexrX9rST+mEblP7TJCIu8c43zoEkw+Yt8Zfla01
BviC7aIpjLljRuHWjUw0rOfC8V9ie3RvOte1npI8sN+sqsTzSuBoOM7NMD4MlIJsW1epr3AueMGV
nK5/8cIlBsHfvU8wEFYhxRBo8zc2pYNY6RCBPmlAod0GgYOcZGoL/pJhhBrlYv/K7cy5IyuIVSYP
5nkTV5kq8Ee5VySwREjDLUH6x0EZSxAGBzOeqJgBaNELetjUmHDgQa0YMzU4oHkXjDEQUGKa15bx
QyVNdhrnYLzwgeqzmNsUFh5JYfhWFSibSRtthslgNLDhiEZLKw+BpdOXmgvVhtRQc2bWKR4tK4BD
TE33HdcCta90NePSHd27BDTfFiaeOnD7skFgI/kIy7DPWXL7Z7MsyynxVHxPE0J2mTM+qC0Yz88O
WN/OdicDcxAsKhCzp6YZ1+gbFRHMPrmH+j/iTGnrZ7Kj8U71ofeROv18ZoD2iBTRxCW55rlBa15t
u36HEIbEFmBl4G16MdFAkr/kRMdmFfnpDz2Nh3bK7muBux4aqKxBGi6YBMANrvrpKgz1KEsQB+t6
jRODHRJKQ/rE9yC4GIecGFqvLJkHpuxUEIR4M4EdPpGeq/IN1cxuuOc/SmEDTa5W2I2L+Qd5q+aQ
85m6tXn58CV3xN9xk6bc7F1qjnUlvZcyC71bX4fuwWmv4d9ZQw+KgzH9tgdI7O2o8YzQImQ+yQ3j
Fej7MHoKSgeDC814vP1gViiS8+V8n3gUZmIDAs3DFZwI7YLAUdMdjtcNp+njFIZzjXUNyzRbzeG9
TjMoCqk3nma79G8pmcc+Rb3Rwu9UNECCeucxEkx54dLQXRLX/vAURrSy9joYDxIy9GdUpPpp7pDn
UMUy75PPd/rNBc11VxCGkaXo7Eg+nLjw8LnCkyCyyt0RNFBTwnPTVPK5mXabXV5lzX5UDWHzKyJi
X/d5eUdU0n0aIGKc4tYXP3JNF2xrNYgZvCjynm2lAwFdol2yFFAQbexe3S1j5jyQwJT7DIbeTZfU
+lfGR5h3NXbFC77a7gbso4u9YWkOIaoZFXhFeFuWmhBf0dJZCNwlts8ypmEVW5k6+86Q3ThhTnMZ
STmwka2FuGZxzzFbeiotMOFOcBvknX4IW2U/etTe18R7pZuc8K4AUS20TSK5nttf41KxwNWEtQPK
Jps17Chki/CUNVQAYaIi9UdwfyCiblX5PtUju5Y8DZOTi3B9GKPy1s5a9HzH8q1N7U5Ud0edc5hC
Rz/IjEuizxd3axD09nRdpKDClvKHofJ11ZkUX2Qa3VGxqy4UxYa/cjdKL6OK850jqgWjfDecldQC
gKVvf+ZLk1+GATRwVsYdeTM/OOPF4z0USt7EUcNExGVpzVlUnsuZ6hjs8P24DbT+pP6j2haO1R5c
r5Sv3Ld3MuxfM1nUe776ydHJ5TZpBHInMP0vr0p/Z6YOttJYM6VdDg2PFT53BDJ4XF6z93vfO9JR
eCcsL9iQ2LUeHKskq7eo8qis+HRVD645oclm1WTNb3N9NTHHdAs8iNhzkXehv21buO64gJ5YBEw7
7WNDqpL6rbBncSzqzkH7Sj+vxtPihHmNZqsavslmVB4uXEyz066LveHRGbzsMg1WjR2y7m5bIRDp
/J/9VB/w+tWrkuaxFSa/Hm7L5OBxEjeO1y1ktJPQBovU0qayGtH2NlXQZ2fhliHybb3MIN79uNhz
9eNf+8rTe7oaT20es1aO/bmZN0tio5A7YUfIB39vjam++NBzQYySxMC7izoaEUed0wuE0gHB02ns
Neji5rHpina/NGPIjdILmROGqT/rROWalHqrNmZeEP57y/2tqXxJtzzi/Xzr1V3CMGMpQLdjnwLT
qA3PgVSYalrNiBBmTTZD/ior098xxI93aZ6YVV1CkgxYr68iGnrWROUuVRXe8WNR8aX8OXtyjQ0p
Oo5o+ls78Ti9gFf8ivi4vy++3DD2XPyEZXduwEBzIDaP6JHpqup87f7JhfBDVc0KRK54wJC8vIPS
pjEa6NMpc9toZMtD2ZE9UkTjRu144drgfxoEnp8kr5qVcrhuhBE2B62tYMcCqH2ugqE8EIzeFjg0
T+TN+vs6i9VL7sPK0cvof3MFKtgIePVOBAs5gSvcMD0UxCUOYwncn9qntmZhT+IM/dsr73kGjPu+
yIdbspTLSTCQvaQwFE4gHqdTQ5hhA13HPtba73ggBf4N9vEKnUSk4TFpea18TMC/0B7sQ6g6s3FB
D+yMBr6/0Y6/R6nZswl5nmXO9pPQbOBTqla77UaYaxUthdQh4gbcCY16O7a/XW9knqv4KJLtIzWK
aY2DeEPfot6QKd2QTX2wkMtPVTV6R8Cw/iFl2fbhc56tae2O177RRObC0t7VXVrxhBHdKiN3+yAX
LAIqppGKbHp8KXEWrwByU9jEAmwzUMBLFEfcqqE/CzF/Ow6VO7j+Y3vCMSF9uryQy5An8pVg1LqN
8srblYorW7eoZG8tFYHIkadK1DrDUxe33fPsEQ+c0mnYjc50ayuibQFej42dwDeNh6lcUYDgbvMY
CjxCUrSD4z4la9ed3vlFww3Fe8sn3dsQdjI723mJKm/sOnevWg9QUk/2Zb6u6zTY0RDnbX0E9EOZ
eskpQHx8qOHTrGLiSGfimvmd8IPiir+LH7DzhDea6DdscysXdJDm/j3fUIQ2zLLtDfcQ/VAq4f9e
gO+AC4rLO3cSzq3fC3nq28L/TXtedJE9TYLkTdIfLjB0lsMSDHvWlOm75ejuwrFZHBtcxxtkmF/o
MdEhKGmhVF7W33aeE76D7qDblAUJVnEe9MxFboblZG5AZrQQu4+VVsZAd6hnTg+wEGpBkKIhvT9E
LaBOyw/mR1qQzbLJ2/4E8SXelGyrThhs5heYuOXdpJO3ipDkvR3XOYHxsDm4QZ1u5tylLIQZfIZB
tAvSK8eN5MtmThwg2EHGk66O1bZmbqLql8O5jyR+Gp37rzZXGV7mUN81PQce82P1BuvY/xmVRX5i
NcoHuDUeQBfisEgtPRRak6rkQQniGrqXpKHrZfoVz0W+linPvZhauA0VT9e9Dc/xKQAgzDr1WXaD
eg2tmClTU+jIyvqdJdFxUfmeUFR9dOCbk2EZ7nmisu5zGXk3tt8b4q3WxrYp++aahUegHn+l6dgD
f6n1KWuvhLxsGI6u7zhoi0S0haHKbdJAQcYkXEc2limQmcDlii/2i9GXCmv3mFX8VoywNnJt0f6a
IS2doTQqoNBpke/EiOUr1iOMyuqKxl1GXj5v9O4sml/2S5K39+Tey3Uiq/rT5gNz2+fOQCwVpHEq
Mqr8HMM40UQsZ8HDXHRkg+xR+FriODXMC1nxkTvRwo9CEE+XS/KLy5g4DhAaNkR9vdVADv2Z5uLx
MR8WgAkYFZz3Mqisnxqf6q5J7fpATuQPv6mooaNOmktPFzr3LYyvdTyYjQmBi0G4iPJdWM8s/qKR
oA03uSFd14b3ywek8gY+bOSTRTy7IiZByqS/uBYx/oZHSuULPGayWgM/+o4Y+IcuupnKiN+/7tYT
FMTNVQtkPLVPuWztrQ40UMzpALX1KcSctqYsIb2HI0XeoSjngwkDtZu9tiGaXHVHwnbde2NXw8cy
EDSPgli+sI+Jbio24b+gyPL4nPsSuzjyNLqXguCrh+DiLkV9I2lmfQ/CuGc28v1jZTPSAnCxeArO
wAgd/No4RpZrpXrpWIQhypIjvkl1tMf6BhhpxGjEqF+Fu7jNQnw3MxDw2Pjzai7i4GckLcnm1g7z
l5oRaVtHc3SLz41SQLYJ+zmJ04MU7vQhy0Tz7MhLsgD9DFjMK5cHdsvDKfeX6cEyZjSk3HIaVvFX
b2OWcMcFpeIxgo30Aes53ct2rN9qnm8c8cY9UkCvtzIfSSN0wgbTgTIHlt6hojBuqocOQD/A2Gpo
f9sg+p+sUo7BygyeuUg2rduxn90KSLAI3wvjXk0c4jvNS/qJkwQqAEqge4/gbrMEdlOKOQlWtrbp
k00NZfoyBYs4tbEQGDZm/dazQPoFigikGV93GiuK6jZuB/+2aNsrK/dqjaiSknohTwtzn+NsvGO4
zsA3KgoH2kxw1DQ8RB9V1VAOmyZ+caylDveg7dofWc0MSxV8rg9a0CIEYzK8EWwDgCyX5lnabBir
K35kNvkVMUGoMW5jcAPRMmTHsZRi5RvMh5rx7NTQuvcGU2R4iphCH3ox8jRZMvdFiyk9RYOTfaqg
51kUj8utv2BZoufYVjfIqM6lNJQ0g9KUNIoW/tGuB8KSrDcooq8y6X8MHl27QM5c+wNfZE5rXbBM
r15OZJU6icggPHSe3WxVVPVni7391q2Iyq3Ihy67mfDRhed4/Z5Mcf0yBA376NrjYhAi9s+01N+B
2gufIR0Hp7ClMcnpB4IhltC3GDAZsbLOsI0LsnR4wxklN76dJXexN4l9i2uBNMuYy/eF1TxDgw0l
vQ4Lell8ps40oyPA6r1mG0CUBkEgFW9t+IEbjBMMs+eCaLWzZ+7g/BzkU8gVDMKl5wgT04rNeG7W
5VV7cDTvktMRgmwtkINuYQP4zU0/bLE8yE+LgmsMSBnjUpRLeGEYtTS9DE5NTVOKNZufmvHWgh6R
0gB7ST1Wbb6YyrU/eYDd/r+Xdl3vj/f5/2DC/h/37cfXb5P8Vdr9x6/8h6zr/Ru1fcJGmpVonyBt
/iLrAq4Xjk8XuRuK0GFN9E8Ttv1vIBgRW7m8sfDwXX7RP2RdQcGRR3QAeDorJKAs/62uov+02o+E
73g4sCXoJOG4103VXzZRHT3isu39YV9nXfSDJpX5ruT7V3OzSNtPK1ry84gzqV7/Rf/+33gKHPkn
afFXOdmBcyoZF30wIWh81/T/X//k3sgcWM8w7KXXx7u0df36A6ItM0I6OJiW+5oygHWKx/KtIFy8
bCevQn0NA4wmdCuMttzbRe3gYm3d4j0GK4KS5ACo8RzsEOxZAZ7Yho7tda7J3R1GcQVYQt/DK+aM
mIxWdRXOn1RmrNxubkseU27wruG3fcyViF409WjJFnbn8DDj0a03eYeakiJTp4xFMQvbwRH9W+kF
6Y66KUhpWp+9tEpRenbzSGe5WcpPIuHrpHOHDWvpamPi6tdQtM4N1tHsget38EoAuNm7sZXdtLp2
OCG4MNAoo2T8bA1FmlGbY9GnGrKHpQT+N0NCvsfGtosJFbM1xN9Fhvc+TPpgN0zgjRlasOU45QsO
L6h2mCv5aQkqYU2EPSmudYmcABmVEIWu+mkVud5dWVNJNwE6E66tNpQm8Qvbhr1+LWk6uMYxZU1x
AhazDzLhBIwjj2gxI09SFCvEyn1JDfh4LTJvKOxeIaft6X02a+MvBf9RxRAam/FubPvmhnRXd1zi
tl3FoEdo9Og1xBeKqLjMEydRGLC6MQ22FIK4GzMhzXS+6o8Cs9jOS13/6MFbWFmDwGPZ9j1EfZPu
XXpU1gtsAZqzKHfM0Vh3Md1yhGJzYLRUdGxaQp/7ZWxBbAMsUivjqIKGdMv7qp1BHXqPuTewpHXL
iUppAcPK47wUJt+UHrYhhR0rW4VTnHAjzGwXJ3yYaLVBbPCia4qNQO5IKOGDfXZe0Zvj8r6nyRK8
q94LLzC6nM9yEPqL+RRZHWkFb4VIxp7HdH5j0yJbbMbWxr0soubYEdxTtmedtFvXp2TR1asm8slr
nbUoqzaV18u29cd0wcJNhQqI8kpKDn1Z3etiAHFjx/6V6ooldiPQIQHS5/RgTo5b3BRGO3s8lIUG
FJCEP7RvtQ2+PM/eNGwbxda3HCKVSyDDi926QPBMMw8Pgt7bnaeSWZ2UqhlFkH+Dd4NPBkobUM3b
JnArvDtARR/nMbSP13VGyWBL6/DCF+qYOzAF4GOG6kB41XuqsC3Gq5C9ysyLecXnUjYxwqqSdXHn
6mp4iVRD0I9FAoRBOQlI+ZbXjtvQR0o9zWPn/K6amui9q52X3E2aft9px/tmPIujneeKGQu3aVwM
FcvsW48hCs4OMBrhXUM91kr4AvZ1CZELob3IkqdewIdlYLfOWNBYuPKPu/ZVGjz2KCIUfVAltisW
izlg/pIq/zQ6uUE9xVdpebt+hjKnB1EchiRy76RH9KPxILR1Oe5CVIybqEvz1eJcCRdckza4SEiW
1M1tKRdz32T2FzlqOt2qVq/jrlAHOwvqS0mKZScUP1Ewa2R9HaT3SWx1+wmGwxnZTmy7cao+F9kO
uxm8z609Z/SMkW3FqG/y6VtrdtlctkV6jpIQ42mWhZj/lhJSCAYM3/kMEJNPheiLMya5uymghp4x
z+ncjeOURv5uqvlaxIBNnfaG0tJ8L623jiqcsjMMK9Lxn/NkDnamHPqHiL06k13KLgfVZjgt/fK7
dhvOD/BOHrlCYMeYp4LL4GKQ9nKUuWiy1HbUilt7l+h7y8ZBvvbdHjJ5NcaP+PZypHJraemvnHMu
MopocWfp/taMQFu2SQXzdkq7+Q47YbKeu0o4q4yabD5Z5DM5LdRnCPxjY5V+eHBDGMDXVNK6QIGA
3y/Ec1hUydnnfaR2BCQC8AIAk2N+O8SeoRQjPvSF0OtK+yd4UMGlFjI59dL/5umU3gJXq/dF2yjC
wXxSzDFz82ldx/hIt+2yQNlKjXLKjYU//yu1wC4SSm/tmwDfNysTuL1mm1ztwgjwNE9OyfCYzip/
7VLym0XgUkadOP2ee8QEw4svzN4nYzoc6pqlxHYYhvCWRL5+CXifSF047YEbVfnVs2u9N1MTf85Q
5L0fptEcs91S0mJadeA32ONAyN/gSEAqs65FtbBCFvgvi7vOevuzhqKw87VZ9oVwhnNAvmlqyzcL
kqq+Nh4JAIsmd6k7GODiIOdjmll5dRiynGnS7mkkJH1VqTPvNjABsOdZtmJVDGNzP4flQ+yyvcT3
325Mra37oqNgbrKAOuWATNLQ29kArKASXzm7jQI/qY60iWTbMfTacwZI0fIpJ3VhnPAjJJdosL8a
KmlnznfWswGjgi3mY7pEyZpWF8jOkGJwL0P2EqKgoKjAlNG3BAUGhuVYiRgBWvEmY2I+Z756UfSK
bptu5AMQjxzPyu1WIzAemk+tJXnUEzZ0mlN21hhvU+4ou44ExE0ypSXuLGqUbCtIvyYluL73Q3cp
TOiuUssRq2qaaFkwMNiUoX+qDlBbeIfGLbOguzZOabOzXJ7jgoWnINuz1ZIXtmjK+EJRBmEPUz+P
fmI9RVXZHrqIpi1GDQh9su32lQydPSdQSGFcDfY8b+XWphxw40PoO0Cg8XDmR/dsIvj6auHdTbzv
qDKw6UQ70NdMcyJRjClQ+zZkE+26LXF3w+3hzLhg3lOyi1Dc0AB2EFXNvUzraJvBkgGoWsbjO7Gg
4jHoFvtsR0X+bSYfsY1HztEZovGVBnTJfn6i93b07QqgOHi0jQrs+NtOlv4g/Tlk9VcIGoUyO95b
pPNQxlMnuVdWxJMzV4N9QpmY9pPI3I+ItSLRKDHdoWpRPky5YJTyeiM2qkgTtR+GTJ8U2Q1a6xz/
bIeD8wRpMv5dGKyTyNmh3rPWSnMOJic+Zp3tnxQvtY3Ek0VbnDApy6nJpDg454HVMALFXtvCeXGJ
NK4836NskE0ITjpRqC8WezbVvnQLVrwJJeXsYWg94QDKDmli5nM2ZeQL7Hl48/yOoq5mLimSZ3yg
g7EkyWd6JMiOOBl45sRdnvJsnn/3mdR8TVnRPbZg2R8JmtXch1M8dYy2hJMY7XdZnJuXEFfnbZyU
5Skh37yfocqiGbAeh/7WSvWWeo230douzv5kTU/DqL3DUKbDgxWR2+6EpJ3UVOEFiqWDdy4M3iwI
rutGNdWb6+Erqhw8SJ26bcNMQn5S1rJtLH+QfM48zeSesPrjxHNWkP/TG892FwwObYvYhYeGCrB0
WgcNN4tVj+pY4AOhKXxF2EjfxlGQ7CP6JbGil1fVcsZk0lnLEdZKvi7D0nl25YBRn9QS9I94lGq7
WCJz7nlE8HzrVTDMHGDAMPS1arrA/cDCv6T30S0hGEmKrHpaL9ZBEX1kNGVuLeFQ9UHL6h6br9w1
9O99MbTQ8ieR/9fUpgnF8nwu99of22PdDOadL+3yaEWGadOfyn3e8oeEli222dW75WvSNRKs1H01
teJ2NPYwfVSumJoHOEBN8YPwlKJ7GJGEXFvPBW/NDi8bKbdppxhX/0CcL+gBVuFjGKy9X1fZo/ZG
9TTVTvq9oLjvkc3A7S6jp/Y9MtJDPQvnva8i76mfyK2s5lZEb/2iKIrJUqLtSlvJ1zTK7ETCzv1o
PNGpVdCkKW8HvcePNgPq79ZlQarGCqFHp1PzOLcOZ8UChYSBzTicaiQ0FRViRHBXrXF7WAXa/sjj
wHv2pS3bJ3KcsruNq8Zzt5jFRbl1DDwapeHAsp/NHEq0FdH+SKsAuGnvzJSJO3wINz0Lzoy53RAq
0jP+SwKLEhZmFjqbiufhuXKySMKqbWogvEGCm8Vi5dZYNYEJ/oeqsGqo1bGpeve9WMZkXzpR/VJH
ov8AB6uJjNXNY+t7D6kFxBlT0qY2YXjuZsXelM8hVEhpf2RBMv5UZZQdZeqnL9kyWG9OXfnhliSK
907/6nQaunHeDRHlS4QA5YPCeEWfpJrig5cV22auczrIw+RmEt54aEwPUo6X8GMI1ADWzZL3XlK3
O5Zye6ergjsqxudTJ4VzTehnj6VneZeoc/s/mzGaJCmIxR8UNmicQQEAt2qXlhMniC8qCX/2KvkC
Gz49sKaJ4WI3rea0FvR3GjlE31TPBeuk19i6hVSbYRTJSxtG/euY8c0prLJ7zQpFbmOS7qWk6OKU
0uv6wGbqW3kJle10KD42jLP3IDEapqu0/u2B7uEJOopDaXL5tKAnnxZl21uaAceX3CFNbSjWuzWx
n91XS+tu57Yx5VY7dXczxd6IkkVvmFQ6wTZv5MatU6Kr0Mbq+5476WczCw+PYtnt5gVesiGieDeg
5R5ZabxiKU6rzUS6ifFAu/12qiCAs5IQO3KDC/CkAo/MNXuUFy4zEGW/b0NSCbb8qBiFzKO3FEnu
Z8z+ZQ/g2Bx5rA6PEENofmQWuy07tWwXE3eXnpDqj44pj1V2Qe/kAr//RPdKfYkNH/nBcN4HddX/
TClD38ZLl37MMsTvQU8DWmKJaI70nmGGmvl2pTxVNgmiPrVLPFPCkf4rNthsXfAmUAuWXUqaw15o
mzcnHzLIi1XxuTKJ1NwECXKyTsg3OnGd+wC+4SkO6L+1hr54muZaXBJLl9/eOGH6J4EiwOJn3a2t
eeat5jJ2v0KVc8PqW92ebWWijGgAdiaLDxqSaUEAYdV1OaUeTd6pTWV59Ws31Q0R2mhyfuQ+SY2g
FeYjsxK0FZLurFSnqCnfwHTFH2Nn4wyOFOfL2dAkcb9w+r0sf/Di2R/UOF0xXrvLcroDVDdyvyJj
6H4OsiT0LPSCrBtUHwAIa8R2O3itJCKNr7vqRjGpwd7m7OAvlEHcKQHpp4Q+HiOL09uRLZR1fzDA
r81wWfKh++h1P5ydK0ndiDDemiotDnPvwlm/EtfZhjirSqX1WxvY6Q5zgPVIQNOHpWPTFR+sO474
iiBXVX5VmPqmWzy2iX+wJE4qH3LpvOpH5bxAZoP4XuMD/h5sL9wRVp+3NDJPchWzuUpWFXaR15w7
5EbB+D2YIMV+zw+vmAn+UOVFYjyNBDy0N7M9JO8iSp2nICv5AKXOwt/BMtXjXIVmQghS5Yunm2/z
h1nfBHP5scAl/q6YQakTtTiGULw3iW6qjT9YmN+m9DNXCFtOla/6YKb5wJ83HY/m9dh1FPte4fkM
Yy+s36vT3Jofdkz8URH9PKsM2H6kwO4DnvY3lqQGrK9jpvTwsUuNdwc/Tt/YWP3J3P6h+E9xfvS7
sjyPOGGO6TTzcaDJwz8tmqzpBvjV9TGlsUABGouCgj1KZPimWct56ufwkqo52SB6tHsniu3PhI/P
Zw2aZcG7Vml+fdGcZUIgbOAGtZOF2z1mc3A/L4mz59nMvi622AF3Dk1XveWP+8KKCIIjSt35wr67
akLvNp2v4PPq0XE3uUW0hMkOF5vNeXVJAGqhdhkfazvFlmTTMi6emBoXD/1t6TbulBQvdHOS1IrG
Vj4wGhTeOgdrcAfcAeV/JBvaeYlcZ6x3Nlg/7FUYz3wviziCHgybaUcOnbLktK/as9eiJa69XsSv
jRrEzrS1ec9m175A68eCJROLA9wb/Ac37ZtLw5+2rmhdvk8c273YtUUXDc7Y4Nxfo7NuRaekIFRz
psGlPqdeGuLMxVhXjhIljyhz+cZuuLtDXDPd1nfJTRMkgfjcDNY8rhYiKFvlzb8iNi8bqiZAGyhh
f1nsiY8DC/8fkpMJ13kPa6mpF/aTS5jvVNarXevbyx2WhHSfiAC7ipPp8DLlXf2wWBMhyb6x+b8s
tzxIWntZNhcBubY6e6YDjVNwqkAECFdSk4J45az4UsOC823xIpPZYxltD8xcOG9dw8Osq6iqoCSb
655DtFZYz2EHuSGbMciSTAa6aNfJtM2mYnoIYoEdbybe0RWyPlmVDT/SKpufdsoAYkHJ2BidpRzG
hvwmRhNHN3eDXXW7NgdK4LDbJf2CG4daOEDmxRSMO7fgcbopk6ye1zNs4a3nJnzHqwG5QYZzvO/z
psXCX4iBor/IvND54LyEI12tLCmzZIVyBT9rkFm6DQrI+StM9/UTSRpt71LfTLif2N+XO7I0dkVg
JxFIsnWF004jflBTkSvrtaR08BTalEGwZ0YcWCdJNjxirWpTlv4y/ZEECyCUgqAc7gFf+hj6m7T/
zgK97Jd+lD9zscjHcIoqZxfAi2q2WYbPdOfTM4sS0iTRNVcsBW0ZWMAfTUi5OK7VlGbgPIzq195z
s8/BsueF0pvR9o7Tlb18WpD6n1JvKd8aNx73VlY2dxOoM4UdqjEPwKzxjAkWpPf1iBDnDh4GiLx7
950UQm1oclqJouinVbnJrp4nsFJu4JJFEfolM1eGX4k1d9fLRGDThrRgzYBckmxhs19PdJECVcD4
E1U/um6YNjQ5L0/Il/4pbERw787U5myykUyMAk1P1gce8BeqgfTXqhSs9O2W1YE1TZa3sYKxPaAh
N8uaxOn0loaSBwQS6nzptBds++QhrYO+36hSRk859pYbRQWXl8s23wjaSy7x/2LvTJbkRrbt+ivP
NMc1wAE4ADPpDaKPyIzsO3ICS2Yy0QMOd/RfrxXvXpnVZZVY0kQjDaqsWDQyMtC4Hz9n77UFO8EB
ca1CxAZU6wewLNOQrjohrpiIHwNsUls+dAi0Ois1zmW0yYKZcILOpVO7wSWJvdAF+LpjGxF3pRd1
9+4sllca5+O9hXAHiKWDkA5o7b7Dx/7soia+hUnmbbPQGu1dk+FNNPD9b01fzpzLxxCuiypSpEGy
vMJUNNxpSxQtLUgn9a7acGLq4jgl/05DBL1zRpUF1sYa3mZGjbT/Ka53qT/lBA1k0y1Kd4TegVdE
aLq5EPcNmAULLqNIPmMnBZSYeY7zmMQXSmGG6/4xzxjFE2rLARrHic92avw1iFIOUlPl+je6ccwD
1FT7QYxufTtbfp1DRM/abwtRODdyyVvO8m0oz7axQKZjbsrrQ9a1zrNMI3GF9gPYQYVOI12Znv4n
YtMqOOWzFX9kRbW8q4iXZ4vgiLPnYLeXtIuFgFA5uxzjFj2Urzxtw7Cuy4ydgK7ndGtsN/4Yre6y
wPESoZMtX4PAFUfX6ZYz+ITgxICfGNq2Mles7WxAJrI/jdfrdBM17HzgJK1naWXqHvo0dln0Qtfe
2GGGdNP+y/QeUgQe23Y1hlFLNlM3TT9lHlcbXfYbzhBlvu7wIB+Isg1OPuv2Zgia8tGDh3myBBFQ
2D37zzpvXQWShgRQVdr1Ifcw/W3grbbvjoKcsU36oHngiET3G5PEczG44T0OwxK8X4CbSmj+pVmH
TDK0b0l3kQCjhGXckQXGOoHRwYDMNXwE69l9sANV4SoPxujJIuAUN12lRbZtTHqHcNo8gNrzmR6w
ttQrr/dgJNtdd1e5QXmlHP6QE0MpShYZ3Mmppptgz1X/faGtdtmQB3EOe4hGccCphEi7sXyAeFcQ
Vh/lQqHmaZZ78O/cEYobUqQyec9wqz6WtpM+gB5Ra1FM/noYWo4aXqNhUzjpakkBsVTDLE/8seSW
t9v6MZEjsuaXb2k8FFsna8DWR0t40wfLcjdP1WfrYAcueoQRaQPGIo/ms0SY+piN7rjHfoe1I40e
58yIbSHLi3KH1uUR+gWQTHecACiiQHxyR75XJANenvmSIVLyXiOwNuNu4PjKhKanw2EhQzx2lO3f
g7SRd7Ftw4Hy3Ek/eBT0nARKH6dKSNDgapgmdcoG3yUxNEoMFP1JXzNd/Wh0gZFMdca/TbGvnkfZ
ePcT7YzvdRB6/qogIabjuMv4Ju15mkY7ObCq4lzIoHQkNj0FdHDiS9XxQMa23cJCdBoDU4i2Oyqp
wh/nau1TIlz1VlC/uglbVlpFlCwpHc7CESNxBExbMKw46oV5anesuL7IoLvmMKU63NiB7W5D4KPN
3nZ9j900mRhadV31Xbox5p146belnMMvsKnmCiEEMn22+282dESNMqkMrTXpCzAVY59CNsiZW7lL
zwlGOOl4ZQRoZVG1UBGZ5tDuVf678r3aQ3LdWccYIsXKo0eSQfwtlnM3+SxyUdAqOOwmBZzDzAdu
+PiUBZP32Yzz9COjbH0ikavXK4mfh/U/vnDxojxsVgtxct/bgvnlilWBuAbWPE54FWc8NHIsxkMP
T4xnqHPZaIouPY+Wbf8oXSKMt6OKMQPgfgUyVUfyGJO3csWXshYedT2BMXNx5Piob7HWA5PWxlfe
RiWiVgSxlPNrGxaCuU0a7YRQ7Pl1CzEglnYTr5tYWPGmC7Ll3GfxJTlpFMUpiKQ5JZOBgOIXc/AR
4Z6ml2cz8UMv27BbiUzFSO+jmZj4Kkv1ikYbWqU8ZRcjd1fC3ZGyd9trWB18DESQBMpjA4yokp7z
XA6aOYrAkD8NwdQALLKsI032CkW7Npf/MfLSoSrNxDMzW7dcjQxEg3VV+/4nIrn6RjFBvWfzonYp
2S5XMfYgc+zsyik2gMGnN/rNhOsWufWUXE5XVQievk+iqVt7zAe3Y2YXmykr7XMYDeKz8FAbd7T7
dlZckH3mofGJdz4qgnVEc/hqqWyc2HU73YAcJTDHuTTJq7TBYgM7F76Mw5s1kMacj/eeRWc0NSOn
a/PWU4Sf5riG7EogKo5Nx2zGuR1+OsrPzz3lxA1p06xfC9HkQWDX19agBCJB/oswDzxT5OvZbzas
zhsDYf6Mz0tsm85GQInYDVwnDOS3tFfLvR6G+ropUAea1LG2noirY+kE9kepBqJ3VKivq75BmbS0
uV6rbMw2BE4uH2SHpAfApcFRLw3pN31Cm7jpE///Qxr/jyCNLsoV/JH/e23Q60/T/cfqJ67P8t+U
Qf/8c/9UBkX2P9A1h3BAAzyVSH0gLf7T8Bn6/8Dr6aKKiRz3kpuB+/hfyiAR/AMVRkCSRUCqBCsL
v/W/lEHOP3wPqREkgCBEV4Pt/D//O4Ejyc/mX5Ic88uv/6Puq8sK35n/8d8uUI8/6nOgPGLxlhjN
hRMEmNT/XZ8TeLgOSsbze532xa4FprAaEpltcB+GNKzn4x8uz78+/o8f9yeLN59HUQh8JOCKYGf9
JV44F1MMsieiN0pSzz4RRX7pN7b3gwNjaprpeVUxWDlM+pFtGGoMjF9gvfV0m+JyzVriUtmQwbn5
m5/rV0jl5ecSGGs92xfEmwS/6JQuJ1xs3wgo6a5/74C3bBxwEitMEgfReSdofs2+oeG4I9do2qTz
2cd5+jcIlovZ/Jd74bkODQtbSDRav2qlOJbKeMr7cK/ozu+Z9MSnkJrl6fdf9S/uuMdXpZB0IzJT
osvv/0ELFnCRWezzcO82/sEvxtcQbdNhzMADtaMZ/+bC/sV38l16LNxxX3g8SP/+aVpox57yMNpH
dSB3U4j3FTaF+JtP+ZNpmWRs3ghc0IwhaMH+8lQJUFkwxGKoEinmpRaY0Kou+4ehyj7+ry8eeALp
BBHfB6nfLx/kWwtX9PL4xhkdoMrKv5DnMKUjP9TNi7+hE/zFncL1/V8p4Z5v+/YvHzb1XoMvzQv2
jeshYwB0vEoHtq9qQbA15fLw++8mLvfil+cP4SKKK48VgXXql3uVgTZcdJAE+9YC1K0HMmfHILYf
SnDuOC3SYqNomO5SKo3D0uTNjjyn+AfdOgKfa+ZJtH/13q2rYeMWkuhE20dRKN2w3PjgZO46oSq1
CdMa7RORB+x/wHG6lVYLEPcG2vVadQtTEj+XA7Yoea+rSt///js6f/GeR34kRSRo2v75eRxJuxz9
OQv2SZ2KY+5b4XEefMKpBv/Zmmsi1GJzrHXyFbipYicuxBPeufBvLvVfPa8RKzdow8D2mSH/8lbk
wPCxyUX7EgznEfjTTW3LCLoeDcbff+E/f1JENBHn1dANfa71L5+UKsoZxhFkksdZtZ56bHrY8L9j
4hbb338ST+afH9hL8hJBUAxJyNn8r9//w9LSVo4LGtEQ6Etlti0GK7tI1ac7zkjTg7R4EETbPXGa
qbZ53zHu6EKbuEZCbTAxN7ibI6MIbAkwY3C+9+Ujdj3/3acjcGD00JVrt+1he5rOu6YH1FwVKRbR
WpNpvFJOn0+7kpgbRq5EV9tV0B9xH4QHlXqS7j0DYKs17UbrVmxdX6PJbnu7dMiKbfx4P3aC1NcK
7FJPfslt7TsTUqbUSOB7k+BEHma3sV3l78gKqqOHymFrl9FymCMfBs/QBsei7SBMuot3Owq++GLQ
FFkx428/0pJ+nojPTj6j4u7cbRmrirZ+ptdoJtDio7V5AiWnwFfV6j1M7HCF551EuXRuOXs3F5Nu
PcxAEmvC4+wuf7Rs1d6GNuRfRu8IOws9MTacRrd9U9MQn1FIxS9ptGT7AdzVBzZfavPYdr8VVv5a
lyJCK0BEzFXe6Vvshe5NUKUberkH17OqQz04ZIjqIREPaHshIbqpDK9szzW3C+h+xhyt3JtWF3u+
jlqHA6chUmRouS5NX56GJsNtxCo1X0d0sFHbFQxtUITEsJ96CuJ92Y7DT0omrgmdoGtgNwpwcO8g
cYoJkPJd0TPq9cwr4MbhxfdCYmsqXxmGL9qOXijbAC4yrenQdFXese/RY4ygdtZa+t51O8hq27R2
DJUUZxJT+IWtn3kBbfpVXnpNvymGMDuIJNK7OuR+CzNw+QbLkH+DR4QAUKwQK3twsq2nfP9bqsR8
BcXF+4YCEWoxwKf0dsCw6a/CAd4753ab7AUWD/iC2pshKBbVGL0wcujKF9dFTjtAsvpofZwCqyD2
eeIjtGqPcF0KRILpqLZwouNTZfQaGVfwtSTMxHDsZjSXbYIn830oVL4QTtDP16Ko2tMiO9lssnKc
eYXIuUgZ8u4FbE2xYj2ofkjXH6JV0iCFii7uIE38CP6Roj8AaJ7OcrFooOVeEu0bxkwa5nZVbcI6
vin6KTnQLCYIkOYNP286Ih248D5lBnWJVtyKAK/lWox61w9Oe0IndIkLrKtHtx5pE2TzbkKs9STs
aNoyUu52hp/tMFpNsovaLjqEvl1xfyeSVuXE81Ey2IMoWPYSSi7DN3pXwZU7tz9RorTbrIc+rYkC
/R7FEUOEIXHbo+UgLpZWDpmVpBtM4gtjIQv97KYtie8sUPDQZapR7EwzI7Ra087y/AStaFa92zrJ
b/LaGTHPawigLqwe0FcjaIycOLWSW/wYB659yDOr3I4zqW1A5xBV5an+GBhc3ovIwIIerQqnSB9u
W9w1O/JOUBaSnDUNFIjT4nhXsYCJN11y5nWfY0BTp8TPQoaoYUtazDJyUDBJCC0ifkZ4RJNWO8mt
hcvoCt1s9E5j2n0Wi99BvEpcH+6f7i8yElLmbb85pOCetpNPX9sPreSUFdAvpKI4psWcXiVqeAtD
zSyhsenv+0w2x77viTBf6nNXosZdK29cNg2OUBAMOgcya9GM9HpQf9jEohVe3Ru8TgDs8mB5hKJg
zkQDZz+mjBXXRpaDnQX6cAu8+c4MzYhXD6iEos+06ol5fZath6Bfz9amngMkh1H+1ssIU5yppjUx
pcTq0ggrqwekUIRHp5U8jlBdV3GRb5IF00DZh9auceX4kxSqjhaGokPJu2Y5b0yn3bNXmvMYE8IZ
qjxZT6M9r4U3O9cktXoJ6pq03Oky4MBfNuOu8SJ8lk7HgQL18YqG1/CAyK7OdtoLQMB39EjyGlqr
JIBqDPwniqRl37eM3Bk7vIwSrZXjSH87Qok+e3V3rzIYmzmd+sCx6M2ygu/juH53GiRvaLcnVxcs
QDAtWw80DZ7sTZot3nYSI42IfnRv2rGPH2o7rrYgcdCNhd7Za9ACRJeI8cmV024c+/Z7HMXkuhAc
v5bzcsdkLdzluLTGlUTy81YHzMScMpl36B5INg9tBtJrcK0YpZu5Vs/UZdO9qDP3UNKC22uQbGuH
xeaGpr1aOa0VPaZ832+Yzge9KaZSczVkJSeW8xa9KqzwJtigO43trT8DPt7KhiuyMnDc7sCYgjBJ
WLxeh1SbHwKkp41APNL9MWFIEu5kDVO4M8vXjPJ6lWQXuUXQv5MO3xz567B9h5MBAw0SBRNNi42/
fGDt38CWc254Cdv9kqMVFW5UfIOn1J7QSdO87yEUOvNFSAoNbpdlqBgdIF54q/QVcWHTLYLil0EQ
7JVEFr6qEbcLm/ydRHexM8gjCua7DoLKWI48uYUh1yTw2kch4fFnpj00KrdWmNftAy6x/DTNBn5p
2/fHnsAzVvm+RpVOMMd+aAWT9aYE14Epchtr4MijQn06d5W461WZbWqAvt+a0DPb1oNUiTqYcEdW
i8lEzRcbEo1k2uCHRdrDMyZCHCLAVcefulyIzW3sutrk8JJXC1Hy1Iz+vLOssCE0rqmOY2a+GiGa
0zTGziOJA+0OqcJdpofiNC8g/5rIpc3mONbwMhRF8uUvhd6m3JtbwMn2MfDbeGfVkX5YCITFmh9/
6qjtb5zaSnZlhlJRhjmSdrINi8MEoH4/5iiQe1K2kXLZ9+3ihWvjpmJH5si0W2Lfo/XvJfUpBy+O
e1+QdOCC/EbKueyaKSuuPGKqylUHIHlcM0se0YVhmRGTKK/iWhQdwQxckUjm5T6uI+fo0ZwniEpe
FV7/NuupOU/NdDOBa/uEbNATyeUq+N/lxJRW3PQuuYNRbMy7ayCEV3Y7HCt/3heN9YK5Bp1+v6CZ
RWhbn5oY2HCq8HUnvayeJzN1NzgR6F2zCR4mlZzqudLPnkrBwCCr37TRoD/belzYuSkKaKc22ZqW
27hRgrW5aGRyE6g6uXcGrMxMLiXkAkHGPeyTZkMjY7ijTf6qZog4jdVfp2IoYWyMW8Aa2Ie6QhHF
N20gFoewBZplj/oKqSmjWcMc5yzAivOZWXZPYe9DxM3jzbxgggG2HApk7fWLya1sp4J6OxQkjMrs
0I9Od2Q+zSyPSRxqggDBMNIQ9j6IvF3mo/y2arQgSPsbP9jNEjMrRn8rPEUNziPhZmgQyqdhwhPQ
4snecIQiwTdRe0r5YhsmKKhlmhPnzbx67/L5K135H13rx28BeL2VAvhhj+Dnl3w5oL95njvQ2cQf
nzqrfwlzMdylA7bnQX+LOos9OrU+wqx5EW5xhuL7CMwDa0Pl3DKl/5kUP/UYDnvEjT0pSckTeVbp
qmoVuoPgOvOdsyUIwyqD3lyX2rrWPEFoVCPSFEaXEcoU5LsEmT+7FIJTNexd2Vavi/tJK67chaJ1
1s6YV+uyVehYgDVyA032BAjZsIrVz3oJX2Sb80/7Xqj4+9T416lTfvOE310ZZFDrvtSMdav0ORUR
dMnqidCMb+AojwxvS5yk9Y0rIczaAmeGVANzN2bnKyhM40oQv7HxfPoXaSswLo3tbpTlQ85bdWTc
8YO2w1GO88YKW3+FtJUx9wCzNU/jg3TEcAuTzL+dVWB+QhGLaJr5R6Qz1SnK/Evw2bjsqzH+gZqf
gznH/aeuRZl7OeTzygID+kgXR+0qA5wqrvydjuzyNBclOsF4TC+llGzRRCBtScuwxx9S55vQQU0Q
1fVZeEw0TD1Rq6g44nA/ojJPOCKYMSs41VvUMHzhHNQ/SwFRKiF8EQxz3G/Orc1qtIJHaO+3njtm
ayn094FIUtNR59eS6rMqkLr5MWu+Sijo3egBEvbZzePXbq5vKsQ/q3rivoPIsRlclvqYpoti06+f
7Y7YWj1gxZpy9ZYTVb7BYaCgz/wILO9VljbcfM2ePSvDTdPFixJuD/BiqF4mmqErqPLlQaMKO3g4
l7e4DeeVak3+ng09UCEvxcdIQ+QU1JcJVtAS1l2BI0ED+71mHLEHDso3JSGYYMvh1ndaoOeVi77X
LfuvgMDKWyaTVHckf+9mlCE7i2kHBAr7XHNm2eWcf05jHVMcYRr0hb7THQcMX4XtW4q9HEZO3O9p
sTy2oPOxxGGrGZIbrGvdrWktJJSsHVsviuW5AURJ0T9xbs4Q1d8sAtufzqZiZyOTpPrXry65Hlsw
sfZOZNAHEmjd62CU05PAEr8KatyZo0Z/QDxp8zHxpU6BDsqNnLilwunVQZAhs2e/tW9Um2KwwZ52
IlCgnsFkw8AUZ3tugewzwD8X+LNfjNPIl3Dyf8aTQ0YVRNx9Wrr2Kxa37lA7ufWo1KB/wKdJ7jqN
OACLDOQw6HZ70D7DfqpAoozIccCPmGrr0cYhZywNVnab6QRpJ5ZD6j4TPNsX02SfdO7OBicC4Ige
H2Qfg6a9T1V/NFVpr1Csf5tbSkX0q8VHnKT1NmsdiE6aUqi7yJ0ixGP0qnNqpdzGzdDWPvM7KU9K
d/O3Hu8+Bya5LXl9d+iq++MlsXg75gh1dJVM4JP9nGqxUKcgSIcN3qv7lEbUeqi448sMWVEMvrOb
6KUUq3zsyfQ12RlIsD7mZPnV0TjtIl50zlLIPTGnDIjANXUlA+NzNPYUuHWZAql2RvQPcXpUy6DR
0Qm5r8qOENKqmLc9lKP9Avv6gMs2PMVhRGxJ3zBrzajmOYA9jka434saUbecus8pcsc3p0iYNC/l
uZ3S+LXMlk+O4/ohIlcM7aO2kIRYvdk5hR6uLNs8C+G/8rHmVOvomEoiZ8iPbFC+zURjx7TcBJ4L
w43S6Y2wLXpDNbrzbdXb9IIqy6HrmMk1eQw8Pk2jdn7axPjsc+G99gnzah5B9TrkbNMxM9xVWPeY
U/GJdes5l/U9vYr6WVljtNZRqt7JGHEfMsiFdwJ68TadORoidcv0XSGiH6CBowf6cXKtoBYiyFIN
lqAFcUYUMIhXfXBdmFpfIwwttjKakM5NaHhUG0vcEU21J/igXiM6r1du4GSnOUVVA+ilgUzvYI7N
6+X7aDz7kJDa/ZY2pHOUea7pcMgfTFJzioNoXjMgSLaMb9Vt6cYNcPE5u2Y8ma/DyM2PPH73gEWV
s9J10h4m5n/XyVBjH26a7AoTM6hsC03qclVCbSFCqneH+xlm0+eQj604WUhJ9sOI2WztyiV4w0ht
Q8gaA0j+uk+zLxwNOli7as7Js0m6GcoYZsF1aZOhQkjA1HkA8TUIKen3W7SFnPSWbnmyBeg6NZTs
jnPhbZiaPJKgxZoZ6eKjiiEUoPOfNuE0JVu7lmZdGOU/x0V9VXSQpSpHn8oA/UJTsHfwrpbLudYV
jiNydPgWwWLQxjH8XjHobV74IP1clXXzVlzWTqepbpq6K3Z5rYJrP42cHTYr0ExEttbfVKPcU+dX
Yrt4WBs3XtPGB8ePh+exnZfHIh7ap6xwvbMNT2Y7WuR02rUFrsTK6bKbUpUHR0WT5qOzHpZPvJCg
OZPrFVz8QYRQlHAXFwgq6yQYrW2GSNJbeamVr8sOx3sbJPTS5xYuewHMBM1p35PyLFtTMrAe1TuC
dQH0eQyKp4D156avwv4n9E+rWsUcJvc9lzq8Zv9Oi10m9EPsG1av4gHcdLWPhhT2FP3LlYrsBDpm
f+clSFro5AxrEw9yhcHhhoY7rnAgQWaIL+kmjrdDQ8vkv8BXG0CWuEAU1z3RTEgKsU9OxQUEBhvv
7KNlWhWteQnaLE9J+XIJkq2UfJccpQ7RgLRCAxzfjsCGmJV1/QNHypj3vyKUDMvydmoVP1WXvoFI
prrxSVWznMLe0/r4XAwWPiK2l1WzjC/9nJLq0KG6qcl7iMLYvjMCuLUbhTYQTKvAx4lOtO7qcg0Z
vz25YYZ1qO63yDNPsYe7es3TAv+OrvCWrk5/DkwufkxNQKwykTaVQw0+B/tO24NPK1R1V16g+30Q
+OBQEm2Hn4gfoj0OX/VK+0Pd16HpHpIx7N5CWO23XHnOxbTuds6gg1tqufFifA53FW/fxh7Ezy6F
oxYtznTrLwQzr/DGxT/owVLh0y9XV7VLggPqFIOieDBBEOxwklmkdyYtoIGiibrui6BYh+g5J15s
GHITY8fKr5ErGFdFz+ylPZAdt6Sb5c89x2CCqvVy7KJZ4fKtbEaqYYcZrAmqc+cX+TNBGvHWScP2
2iRy3MT2ZeISZ9b3GUbohAxuW6YNf3s/mgd/VN4ePIF9S1sk4K82kGUSQ0fPD5Bq7SJq2QjtQivK
WyBj2yolZplJD8wCTfCu8obbuCw3BM4bFP35lhNQvFZaffWLfq67KXoGi1Sz7Sa449F9mWoTOMtb
VU+vi4F06HWF2OGg2FgGXG2oumTdzFl2Shp6Qgx0jkmZWS9mJJIpImz60nbH2pUuGUGrE4a31AM0
wKmrTfz8EJJEtTPwZWi8pNo9UsFCfcw08bM7u2NXJN8kBGPlE2sOaT3s8pWHzxjhtIV0asVUxbpp
jDs3O9sC0b2io5E+Ilj1ryj6mqPIJQT1LFWPcgB3CqZGOjCxKsOUmoaHjAERiu7OuBhbWcBc+WQn
qiVjKeEQqTmtNBs39vQJk5MN0cKeyU8KjV61CW1NewzkG99rwWxagUpoexKq3WVADsWJpUQ7lmCo
gf3pfhK8QdGLcSXaIH6Ek0FnUT2H82WxRAJIC7lwY/fLkwUSsxGb4j5nhsD2Rr/kFYVU8NbNaXCt
87k54/8NHhh8BkcpXPfZ9kEAbKRvpaQWWB68pa400bdhDpuLxaeqjyiEO5tn285op0madr0PcnGV
DxgrNpbjOT/RZbnPqIxtkMS5+iqCGqZAF5nqFkc+smeNIX5ZtZFXfOIwtMkIRlZrMxl5zGCoJpuC
jAX2nUZ+nwMvuEVYXv4ogyWmY5okt/3UeOh0XNS2pk+q99yPlpMi3hr17RjRhigtDkxoTzWYKFxe
jxFOL4XB23PeDTKrw6i7ocKAlMq7wia/hHgKk9yRJ3/J+bN2AhzVi22i7qupRfPCECl+rZKq+Wbx
7m8tw5XPuZxkD1JJHuY6W17juUnfQONdkFCg1b4Jbcl3usDe99LMZj0oAtHji2baM5TwUJWCbc0j
clKW57GlNPmWyOfpC+wtAQ/0bda17ZEphEa7Ws/wyl4sxEtHd7Lnsx7H6FuOnmltBwa24BxmJ0mb
GdCQ1SmSLnT8vtBk4QVoyvZbWHfxaaHWpqheAGkWFIBI4iqT7pLBf2Lzqn8Odd/c4c2x9wwbLDRk
vsZFllEEOYX1PaPdgxAfGQW9GxttLXCNPSEi+Q06DoRuLPtEYyAyu2NcRrrVlNDv8jOyvFe1qNTj
bEZYVQSl4XuafZqQnjD5WXRjefTGOTxeuBunDOXWJzxMBoMNbIJ2nTtExYEczsonkgxte4MJvjmz
YIRqAyxY3gmYtM2eY/Ik1oNoOUXj4M+rbQ10jjpbBuKDgLjxnob1eGfbcfvoI7D96bd9ea6BHMIu
iOVX5PnhOYacfJ14gWWthTO4Xz6WhJ9ILkcPukDTE+oTh2+51iYA6xpouQmzi4RyHj0vRuLnygOP
arRJGZA+GZ/QT+L3fFgpXmzsB0t33ksSVNVnnegXJ6IrWhsqkmHGKYr3L3EwPvhtcYeGf36vYH4Q
xETvtKeewrof0HpfDqajredHg6l2HAO4yL0aKDAsqRb7lKfkgG5SmGbMG6Y4u5mnzscwxNSVNSKp
w52bpN0VdgJNHCD9it24tDw6VT1U5VoQqrIH9McgWuF2PQ+tByGCR0Lc2H1Awy7oYJH6Mkjee/AO
xSbR5g0Mj8o3FRCq41Dp5iHlRoU7LzTes2FAOG/tqg0+KY28YQUbdf7I0fvSXClVkB9UULkUUig6
5x1Pc272+JkvnUGUhHIdRLX8jpFIYsOi5L9KYneEeHjZ2SI57pPFomtvYQM9JcH8Q2sAokyOx2nF
0Zr3hBqJb8AwwREScw1bLn3siTkOtJZyKT91Msa0LDuC7eWMVMRxrn0ItwN7gafl3oUblQKhniex
IheMgYfLbzw53TD05IR7Tr1VyQWT3TtBg1MkzWidGSf/iI1HFK2X+WJdJh3RhwEK5m1Vxu0HSlDg
1ZMH0n5gdDNfEZJZXhCv8o3ccbaPPOHwVum4Kg66LNzPvCTxftZezQF3mZ39PFT1nlARuS5zQC0o
khuGeWF9HJOeQVnAMO1ORrQzmUH27CYmNh9LrhxKPGHpV9yvFRgHqgmQwV/u4ERXvuVFpxy11d24
uGD++NrmYhfT53nurQ2zWs74c7HzJNQMi2nfnrNNk244NauvNhzcdBWVObCS0L8tmfvuRdImT2lV
kdcrQMQeSCRLhx1z+3RXG+/db+z5wYJo8WFJWjtQEK6xNjefve/mz26QlvZhGZuI5q/XvkE+QFWZ
NM5NqRrrIbHE3wkxLvKHf5e8RLaHCoqNW+Di9y7yiT8oFtLCDiCatuHlTM/wlBPzXSBRWpadyti3
KVVvB8fKn+1hYCv9vWDC+yu5BBIUpqBAuRDe/KLvWYQF5SOawv0sk+42kkofBm2YItiM7VGX2yAO
UrZWKIzD57iwpei+r3ZqKAhE484WCntFCBh3XSpS8MqaAVONpH43UsYzbxbOHfhZl7ZMJQFBs6Mu
By295jR6Ocpogy4VL/pq9OkNuii1ynU/Fpjo8doq9npYpJjVxL6aCmuVoQ7ayAv3qde9R4XiP01E
Pa78cXbu2kx+5DVkKSsYyGazWPDzBkQVYYgXqdQEEuP3l04QvPHrfYvo2cJNcwXdweAXEVvFo8Tl
86jW0VBybrDvPG+aG3x987F2kCyNM9oMF9IAM6Ie4L7p511UbqkCLhqDUWziLImQJadDHa76Sm7z
CC22jcFh3UwWmQs9592yoAB28/xQ5yTe/P4rXISkf/oKPgMtD4g8eobwopz7w6OXsZeoIdLR3tYq
54gTDUu5BuWbXi1W9+BMg9wMbM5rsK/pybHt/icTr/6o7Ytaj4ab78D2FWbEiFij2/j9T/dn2d4l
a4Tsb7B0EcrUX65vQg9POhKqJzxJ1tDJTaJr/Of6bz7mQsX700WIPBSPvAIs7c4vn6MYGHsmVtGe
8edcsH0H1mGEILaZplL+EBzgWSML0jecuN4AWJEPGUXotKExDrKuE9Et1qcC2Qwvi/Lr6hZjPSSe
Il6QUWf2k+oK8/L7S+P8em1Yr23H922kk8A/WDj+/ca1ZbvQkODZIwaXRWERtb8ObJqDwDkwsXEM
eYmK28bOGkAFFyRCJex1OpTpafZmuCg6mz99Qsv+mZ70/yx2BwnxR0OpBGi4+8/9z+bmvfqf7J3J
bt1YuqVfJZGDGhUNtpubuMhBnb5TL0uyJoQsyex7bnZPXx/tiExJEWnfAAoXSKAmYQRsieeQ55B/
s9a3Xpv/gGweEzXMmyv4h1ie/8OiL3urzv7xA7+Js8WnWZxKA8KDjYAd8U9so/Q+ueiybVeAYbTN
73/zL3E2Zh4HXb3ghxFM8qltCtWG//i7aX8ykA972AZcx2HOZ/wlcfbMhnzz/ZA2babHkQzP9Fyb
Y314PhUhFGBaIGvnhyj8Fww5QmOtDN/Co1coSk9ZTOmljPwwBIRrSXigwUh+H2FfM72pdbtmgYXX
rVm0tAZaJx1bnpU5CreOpvxoC+xL20mPfE7TMOzXkZIbvk7uRgfbSYmBJLOEOt3ror3Ig3WMo++S
sE3zymsMQdk/CgRBWg4Lg0SQJvCHMzzEN8TNN0vO4LjVS4OA1MJsz+KG8oiSPbZRxKBUPFAIL90S
k+VU9xPChjmToUWrNdWy2BBbNjFpVLNUD/p+UXlnfqAZ5yi0gq09hexVoug4mjD6yToQy4kubVM4
1gtAEAeZePOcZwk0XOIW6XEcsgwHf9zHZdFeTZ7XHxIshC9ehSmcdFHG00b75A6a3CHJB2OgcOH0
HseUkXj1O9c4b6vhZVLK2eh43xd2rJ0LZmpFPH31qHw1GCNt5t8PlXVsq/Rku/EKTNSBPnNOQsih
2JJFZxey3/iD9ULxu21sLGKJGEGO8djCDnkbeLMMNmL54iTzxCpgLEMHcZ/iyFy3rvsgYv0U17iP
JCwuWimycYZqDT5PrlDEgEToqfhYXx4ygm3giNnbQWN5pdL2MqlLNiETvqC1HZCNwaDn69hrKXmc
Qr+CcmJejGouWCkbH7MGLM+iEF3wbPoMMsJ44DdAgQa50tvPda00hDmVvMigvBytQYzfapbUC4yO
VsVUZQC9V2b9iczEC90oo2/g/Jhkj4CBjYBtX9ZAHqAtbF/KRLGQkdq1UXmHRLUZKWsGnL5Jq60L
BjY+iDN5mRSut+rFdE0g4FVCsJoW9C4IiqjfO10KrLNCB7fQE9+89DoWGJEzPmOLHTZSSx8hiHRn
zYyCN9OJspv+5tp1lbN2yyrmMS9ZGAj6IgIn1/lgEf9hkxTdJu6FodnOdQte3ji5rh97SyQcRoWS
SYvIHrSTDKxllpKGCzwp0NY0SKJi9MGbXaWMwrCtC+UxIVQRkdL25Gc6LXcseMM0M9fkDdDoxFbW
dKsuslgkpGLS9aXq8GAsSn2g8cbwPAaraQrZgbhG4bvE7/qE0QexgTEXf1I4LGglu+Ck2VHW7hRE
nBZC1ZzcGCd2VN5rxDmS56PleKgYCkug9a4+Gx07mXfnTkgTscOIXI9HZvRpv2ELhyKWJUwNMdIk
+nqfOKlWfCsTAGscN/b4BsAD9ZYBsU1kEjChBsrkE6e0xqkIGR1wl1NsQ0uMENCcqhfr1iRTduNn
mmxeCrMjJrkwcG6tDHjkZERXnvPI+mC8z3u+MV4b+5d1UMsRYrsRVQuBUbzYMUBhM2d2DJ2WIh4w
4zlFGpAPkaScLJf6tCYLijlT8JmVHN+QVvJVwJiNagVVYhMH7WsP5dteRWFPvkQSR0ZyKYqYZL1J
2blcZ4AGgvMwybn69liG21n2265xFlAW60JOBImzWmasrULX2AtyZtLnio1XtPHchDmkmWEaW9id
MT3lnksmNTFa114+IZlKBQdUJXJnA3/qfV7ind6PPvGgi6pjCwSVSWim+QiSLTzLPbt96vOCIjsN
h+pMFY2Cz0Q2757w5OlJznxnyCILFra3cevehu3wIPMYsVZejV/AZlabKQnTKys2uO1hgN8Eed7e
MNYrNl3XyC+ByboNGq49PRr69NILBTdVV/mdr9XzEJHxKyZAZmbtUfB7UVnSxcL1gjzVZacWXZG1
9TSfM9qNQCxFgK5zgWuzuhhrkO4aMG61DfqyNdnPYXpbmzkBVUfu2ncdm3h3I3CL3sQZiN9rRMO4
9cjwkiuc8+LIyB+c21i3+gC1JUJgndoVXCM9TcKb1DWAIQnCqBZ9RGm8krUd3dbsfrrHoJjamvEW
oPV5hIxotYJ1YDDl3CX98HVAngJui8+ysZCB8JYmdNON4Tcz77bpLplsRBe2lgNvwPB5Ji11NSZI
8/1QxFdS6GpDMG/+WZt096R56fClGZzyqtR0D5UOG9vbBjPj1eiTrXvZeUXxNbccZ4cIst/7XeYS
bKZk9iT8yLjSGgQTrtl6FwPB7xVQk1h+DUyp2KcmyJzZ/UTwQS3lJwBCLflNkgNzKkfVf/PDrmfF
ChiEWZhWucvG1cZ65muE4dqlTUy/oRitgyUYH/086SiXi8IQ91mvxVsWnwDkPErQ9GTgh+SuMIbr
Wfh1W7B/CJZN0uevpiuLb52r9Q/sC1UJ2zT0mAEz2gH90aIdiIapIl09ss6CtNGyszQp7Vsttqrs
lJeDTHaJUdio5sFwxWsSGuQDil72jXHjDdu49AvzAOgd561Wd1dMpeWtXuQpObFtZBxhxbqfISc7
j5PiCRKN38dO2Rg8iE7Tr8yB8IxFOqbDWTFCW5Yg93Z+71lrI3CMI5bodt/h2YAigv5sBQR/xv0m
uKY3smbovpy00TYX8K6bzwNOy3M6GvSkQ9BUaiGYCtVnmRYVikyObKbTwdXDJa+zH1D6NKZrHMbF
oWkHhdbNshrnqo679CFrSGHbFAh0uzVwAd+CceS58cFD4TftyVJofczfzF92CN55/rEyYjfdOaY2
XjjCD80rUBsNDLAibjuWgmQpse2ZcZFlyFuH/JwGpA9rCdjcSBoJo6/ac4JTlDNCWYLR664Mk3b2
YJeTo5/6OJ6ytQ5pRbKNLq7RcM0pI7E2qmu/ipzyDmkPM3Enh2WDCgaHor7OE77yXojGpzdEd5a4
Bk64tvJu/SETVzGVC9wFDCtIAapop9mTtfMcOTBWiswdz7PsgviIbCfdhtBSEhGIi+iAHWskr5wa
32bplDeWdozQWpDug7SKfXjT1c+DRD2xoHOnfLD082bE2hrVPoJgojRqwknWrcBCwRoWLbOhqiNI
l+Bz3LDhT1gEsastRXCLrjsMULnwdJi0YtjjyK3KU01eU8Icz469HYMxyWUtW4fEpji020vooPqF
bFzrLNVC67Pdt3ju2C8ROFTMzPI5CFew3o+xe2jStz6PpG5wmcn8CNbeqNTNQEwmESv0n4fQnIIX
HnPcLP26d4YF4e9WsEsjneUb/cdTaWTecbT19HKyi8vKNYZtAx4PiAsiszqfnFNRl3JFQPexmlCX
5CZaCIGgGwaGj0nemZ54YMQ3gWumLyUz322VVCTC9paW7I2WEPkFrUz1AkeKEoyFMLsyNBQomHhA
lUPoYoqP6piUucayN5Xl6pgyLB4E236gbCepqvW2TdGb3qIfhukiYT2xrNqxeC6bESWfhq64NYj5
WBa66UBpsVLPXxlpFv9yKvaLjufDRICVR64XRTvsbZYWBB04TX2AYRPfvukBL3+M+N4aUd838T8a
K7y4tPCmcF3T+TB766YsL3xf6/fuUPf5gm1SDE2ost1fTKreDxjn48zX12BQpdMR8r/vhwWGp5kt
piS1n4hceYrnJ7yY4byLYCRCfjloSfSaAikBBYFYWP7i6OZ8tv413/xxeJfpJlmuzL7Fx7cZ9UGi
lTXUT7uOyg3I0PbGlJnYkM1B5GnfpFey+h5daI9fkrEYVgHVBIE+txPVhf29zGB4nM6FRy6o+6fh
cnCLYi+sCkSFrgfs/eOpJUtHw0F60ZA+BLuTBR2zbCQueJ9+kRH9xzdEJ6wzdOHEShPpw/vzOVl2
iARElfspahoyUCD8oFUoIlKFFEBEnvFBKq1fuJb/eFBLFzq+ZUllKgAlvz9o7YMe7RKv4aDBdGKW
TC3dfsFEcoDpUz39/JP5fi44XzIOxiyMN8hvwqr7/mCBZ5lEz2Xtvp8ibe3U5gvz102mD+0v3tUf
vwIWH0vHwUPOkAMWx/sDmWyWS/Yi+T5SmdleEGHr8+CE1qJ+NeX7k/PHnJMuch506kRBvD8SaEI7
dlCXg9oyxDFUlBS+GsIAtotn4cUyLbPZopOgzyvDvrlIcIHYJJ07cAMp+bDpUf2VAPxXba38aTd8
rw/r77Xiz0/+H84J3nQ+WtiIDU6LM3v13w5lWXMHxBTLaJ+Eoe7uS6naS7TmNEt/+TgWX3uH4Gbm
INbs/H97HFGFTRUEKtznZImqVe1iz4AjmKY/LOX/fyh4O5av//j700sGZztq2jp6bt/O+PigeewM
/j254fCUZepv/+spK//rb8enBqNo/Sc//2NI6IpP0Aosm1mvwYoIRMjvBAfX+oTdG/kt9wT+ELO9
9vdsF+eTYXmOgc2eO++P+eFvQ0LL/ERhysLH5rmAX93+S0NCkgT5sPzrJo/K20b7oPN0ef8hyk0V
GEoBbs9QYWLJ83sDkC/wVnDr3XkJrqzAB0HNR9JqH9IMNnay1jWS+EYsonsqViLlQ9c5F/kQrpCg
uJAY1bADX5SttdYHk15qgVFsFFSsFStsjDu+1Syqoh33mclKKW3g4w1e2mzdNtTXTaWHuyKrqwsD
Fvk9zLQaCV8RbjMDEVFPjOQRJou3J/rNWlhRnpHSFtaHLOrshWl40RODSAGB3oSo48clQ4KmsJyV
jO1ym5CTtOnGLl0UZc+utA+s+Kao8tZaED0jTxOEYQhSxdC+Bu7M1ISmZN62uVZct2PFrrWCPsMu
VZqn0hy0jS8Ln7wx+4VdGONHiX6ZjggVUDHv+5e+iRaqCIXPKCnBmIG561jFXbkampyozoTmZpha
a2f4iXNI3HC8VQkPrmMD7N1aeikoUoDsmZ5hSsoc1Iw2CkYzVZg+ev/oxG75lVCEjuFkqa0gbBvw
0GEaeY1evxKhntwzPS3vg8hTdA2l+eCGwNqXuhPmB6i4xOWlnmoxzEf1s6JVPFjKEOYWzmWiU8c3
zr7XgB2SPRVpt5pGVOwZ8kefn1Op9200JhrrYUISFKVafYQiWT5pZZQ4CxNr81LLiF2M9FRfoX/l
t0RlSH+orLpdN/VAhORkmdhVhbGaIDmtwvlfcvcfCUaNlHktTJV9q3quwsokl/SO2z+uWOBnZfC5
sfBuLAnQqHAzIZsx0JZi84etJ4OLeU2597IqvHTMzFwaZT3LtErKUk5bjemoUuF46TNmXjTYFZG0
V6V5WfMSn3B/K4NQExi8+VjhjHE18lHxwKGHJ2fNZC+TYQlAHL4BWOV/G0vBa2oyUmPWnRF62hK/
UxGufdrea1c0/pOnKxAojg8FxEGYvmbg6CDSJbCObWll5CeiiEjqdIv6CvtVWiMCBd+9wVsUL024
6NeRnWK2gje+HHzw/rjfWP47hQHIlJi3FhVBTy4dUsdUqV2M4uLFd7TxacKD8ZmoIOnA6TWsb7rX
S77SgcNok7K16XH3SpbxVkTs0QItbNudZWwxrVWaEMtApKuJHBF4nE2LljFdMTXYYCRNT6Ra2qRK
k1odD4gqKh7EyP9k7dzg8AGrb5ValhHC2uSQzomMI6Z+UPor0KNiDyAP1UKbTbCqqiCnn9BInzkY
dEMNwgoP6fQwPJt6Z+/xKTrPxPWlO7q49noInPI0qCBZTUZlX3JSPIx+shzuBi0Onmx0nPsMsOK+
HIkBqk2F2DoVjEdclLE3pAFnvNcJSc0y6zuu0+CnLXHXqARWuAcjMkGFp8p1XxMsgGgruPHMEq5e
V3qvtVkAlRparb1jJBd+RcjUfw38uNuIyh/PcYH15CjO9LvRyS4ZbjrtrGJn0YKsxX7U6hF4Y4v6
m0TvSS9ODLn0VQ/+/ZFfku3iUEekyjB22dseSvnZu5WXggRccpckoRPrqJPpqR0t51HagRujY0W2
iCyVcKYWRNa6hEOHgrFMOgRWBgDnznScPUHqBaFApFiupDtftdY1/VMcu8MOyqUkRQTf5noopX8i
vyVFJaTpJABUtduUa86O/uSUNu5bSzEHaBrvmh3RFckD/TIALLfobJlv8BuMNN6OKm+F03nHrMQ9
F9h29EyUvX1QzoR0p1M6/fOQ7rvYitYOkqulNRXJzow0Z5U6Yb92Khh8fNXrNRpea5GTd7eqWjKN
RDDYX9KgYYAShXa9dXqUPki/onPYItNZRgkMVpaBY4gUe6UXdXPtcJ+/BJdLRCsl2LDsoK1uRR/a
lxgHkluj0cJXw829EGUdHlQlTQ+61xDvoCjhcsvxf+d2oB1KD5yz3Zt5sUwx9FWrss/is8DJehCA
Vj99JWOi2cVJFl1DzSfvcGivwPt40ClivrMLcBnmF57b3pHBUQOMwBnF1USWD5rdgOFx5enZQbbN
mF/YfjvcxUMRfovjJLhWseXfmuXACkPTe+9r0DNf1JraPjcCs37qs0zckzBVrwZ9kkuyP7OdTaq2
i3/K0Da5YAW4iJCCX2WD5WJemwQ6m6k/dbVms3AKXZPVk+ETzUS4zKQH/d7DC7jBfGvtW62DHOgY
bbtxtTi9dlCT4733Q4OxR0iopWNFmCzcbnrSkEkj5iQrigippACNzczzFEZYqAnO1FCjSvs0yaz7
YjZBvGFqpZDRZajUvQzadECUO+Ypn/kkK8P8UCVWeU66BU3g5FXmq4X88xxYwLBOmhFunC5x6lZK
Ns/+hM/LmHJzQzqMdpjkpF4zyS0ZLmh3Q+w8vRw2AIY2biAPCImSJzOCXYA4wgwugiTUEUGmdbSp
2L0ug1pYkB8QfiyQK6uj2xsG3ha9X3marralFRMoahfc6TR+Zh8ZQXJC/D9cxug9t/h640MjZMXZ
JBXW7yGSI8s1ocWO/g5WXnPdO/W0Yfbj3jaxN1sUe2s3ZbjZkVJGR0kIU4hTd990Gt6bieywhRsL
9+TxXP36vTb9Hyvj5wP9c7kPHuy3A8+78nf/Q5RT1I5XGAzG61ewse3vJLH5X/53//Jv/y22miHs
uev59xX68bV+Sumdf/y2/cs//v7bj/xWlLuU3rTjnqFLKH3um8BF+5OEdiO5hTgILS2Xevm3otww
P7m6NGZ60ywa8hx6hN+KcvkJAZgOgNhAiUJkrBB/ZXOPKfxdUU5BTmeHsEdH22ILyxIfinNPxVqf
JEaytvBHCJ80cqDoIo2WVIbqRMx1vfRJ7DkK7qg7ov5avE51ggIo88qzMNHae6KR4dzmkIUfkIb1
zlLX82Kf+gbbTk8mEpRs2OabwOnkhR62Qu47IfroVDtV8WxPpJQ2OTb8g9KFwpRaRKrbBChRYQNM
hNivW82bjXFRye4otnWxCjOybfLSccCAdJAnVtJCN4sSDObJYuyGAf67lmCjG7nbrXMjHE7OpPtH
eG2Ea8tQF/fV1Jv3vstUvwm1/oKlTBkuuqnRFiLXg0NnSDHTYELsv5Q93oFwFhATwB1Yg2k6IIsO
xXh3MCn8MOPQP/AkGUPzRs97lu9J4kXpCttOBeAjMLx40aNtyBEKsHO6CF2yOAjUYdI2S7yhEjRV
n/YXggVMA+TRbht8rDb7vLJIGPSFMSKrhXKxfiyjOEPOSMLayVQaYdJAxGsCk2Pd2RUhI1MwVg4p
dWgXxpt+MjMLRoXJWrNth7RdsryIWVFz2wHJ0JfJc6IVU0khpPB8k7HLAexAyAc9auKLRPO9HVfG
vtVl3O1YoY4kqozeJVQITOGRF9fDumn04jMifO4pU5wN/lbgpMVfOGBapoYb7kh5d6+SShfPOvK6
iOEX2vsFYm9OjQzklC1IAEnXymnM+0pF6l4GhBht+tQGUyP1jFs6G8HqGGcqv7HJFSDxUFbgl8uW
ZnFvD20IVga34iqUHGHltHqXrZWyrOs4s4udE1TRVZPZbbEgAVg8z+gq3AuhiTmYuq0/j9MupNuz
iHOnNcEIEMLI9ScE5SAyvYFT4E8eICUNJlLlRORyKW7g/DtDPFYuPc0iE7qF1xRvFb5+7Hj2ptdN
eHwEUTNfHKGezonn9tTNwSrulyoPQqwTFvrVBhldsqIYLtiwyhICql7W6pswpsFe8SuwpUR6SUGS
lQmQDFNWBEnCbuRZZ+X+VdYhoEVVnvSbZOCNLfA+1wb67rHEJm229akiZ+RFRXag72Wm6WR2Oqpe
iRTVo1j0dijZ11htduN5kVw1rpIJtNgUpcxM/a/ju3LyzjGo06CounfJu0O0e9RN8jgUG62UKCeq
GgLN73Kz17coEqa1C3n9FHhNehyBwG2qgdTqZZT0bn82enlrXBk1jvm6p4fs0AsRVcqqkLynMj7Y
SM1vghBcAx6EbstivZn2dOnsSJPYOdOVBJfdoiLsOYAVslomk6P8yq4Gxk8HKWCZlHxODpA9knGG
McFZqsaxw/xnkYeRbKgT6WjYwcesQ7MYQoyvVeE1ae7ia5L2VbliUIxOBgx6Pl1ESYqd1uAro7AU
leTW9zIYsNx5pJXIvfDIErywAjVOZxpaiTss4C7+G6t11EYN9tjH6EpN5e7IquQ2T7p4KDWy9thv
s4Sunth3HXOyH+lgKf5HwNsAyyzkgQqHhePwbhf/2yF4XFelqtYJCW84zbp2a5RlsvmffW6/fWz/
J2nyeMLOpMd//3A/PSVN+PTSv76W757wP37utyf8rKWb62xIcojsvuNRe4Cr//i7a35CgjmP5MFY
YgC0ebj+/oQ3eMIzVfXYeTBhRaH59gkPl5V1JuM410Sw7v2VJ7z1niQIMZXoDZCpuiEEjhdjHje+
HeHiG/PxleU2Lj34ChkD7J5mL8jqR5TVdJCuvkrEvFrCY+hLyLxkUd6FwJtPRdM9WH38RZX1uain
cUsWpNq1VXuJOcJdAgeNVgWPoVVVQmKonfShlfQhICweeuwcHtwMFluMNBQJztDnkY/FF2+uxp+s
x95P7L+/OTiQlC8WBlsGlR/eHDbzsCXP1YYDFa/YCGwS/1tel5e6+JUO+uOR7FlMS1qhh8iR6ao3
R1e/kUEHWm24XZbZKzAAuA1ZSuca4BwQDWWw+vmbmuO03wxKXRwbcws1/2ERhy3MD2pKmuc+g98O
jkp0z66PgMLN8nv4Edy7wMz4HcFuqeiSlV6JcuV2qlmC9u0WblCFWFP6djepcmtH7hf+1W2eZ2ea
Y04rXFIPgdYfC+E+kdZuc09bOaL4WhMxsiwtJq/wp0+jHdDIOBEaQEunvVfN3gIwuMTQM6yx0PWr
0B+fRDd9qaro0apcxiCJ7ix/fg7+COBlSu05ukOBSzSIYc4f6zfn23dADowWdsFCym0YszfOyBst
wxbDmL/1iocyE3SI3dIMU/LAfMxLXfbCjvz15y/k+4H+NbWeLwbqWMtk1Yy8lrTQDy8E8z3hBYHD
BKqd8W1VxfRDcx9k0NAfG+lzqgAFxYwP0vRYq+m2cMarzo/dLWOqdJF55pWl6pt4iFaDU20ZrzxN
cfCYjcZmSp3rX7zYP1TzQtAUS5bFwDQdbiHvz1oe45xM2oGkcB0znIMMxNX7W7vTbypNnDGGvYWd
sCfBbjcB4Ysq/Q4ZFBo921qEzNbrKcYthz+pNcjeYe8bCnHbl7W9+Pnr/MPVdQVNDSHziJahK3On
e/86qcpcEUWuhqYwvSmhJm4YOvQLKltSd2gI/MbgAY1nwBYtAUr19NhV0w2Io7WiPPv5i/kYOv/h
tXy0t+hgClISlfyVz7p7gMqSeAalhbWwpbkFe/eLw32/J739QM3HE2jzYY+ydYFD+v69u+SsySll
h2i1lL8qwBEt23qFkIhPhX2DWdHcyDErCF/RiLCeI5YJIdrTZD26o2URmOw366DPcCt6+YOv4Pkj
Ks7i5hYHd3I0Q3gASB2Hje9EVx4V9IoSZqFZ04lhkL2LMUIvyHavQM2Yi5HRI75udaSDZQaUOyhv
7eqUVkC1fGYYGPYbEqUkoWLIJKcFoZLxwqwDa91a0+XPL8T7Wyyt6HxiTBZNPKsMF9vM+xND7FTa
FC0Xgi0GFIRgE5fnMJlZYp/9/EDfOcvvLwGLMPZdDIg4kDW3129vLg4p9ya1cLi2YhefdPIKRzXh
eiMHB5xMLmQT3sdDf2NXeNbVeE3izRcfvBKTNf+xBnKXO80LaqpFrs8OOPY3bQ3rK93+/HXOBoF3
DwJ3XuK/eZ0fmnMdfVZglnA8oDmcRqPfNIkbL/U4e/B5QKORBaoUll20CLUQz/+Qn9XkAC9lWT0E
KEeWRF2hALcbbT2g+d4xaerO8MxBaTP7ZOfk0t8GlbBBdNbJneptsuKr9hxCYrewS4XRr0VgpJkl
zCKUYkuob2xRUJgt/GrWp/U443DewTA1W8VQs7gf2vjJD0uT71E/Po6OusMhLFa4hbpvGTsApuIB
xmJVBcdcFNMGAejdz8/ZHz9EVDsOihkmJPz3o5IkaT3KDSv3VoHjn7eAdBy4ZJGFvas0Nz8/1HfX
z4eP0VxzYKZnfmMwRXn/MRpivVKNVXirzpysg1LT/RSV1rGsx+Au7MFgpxXK4Hw8a4JvgYttu8CN
iJCNB2zfFngdRoJNrdipL8m5+MWLm4/94bUhmviOGoc1inXw/WtL487IHAnOI85gYwUb6BHHqfr8
izPwsVLhAypxfpi6yzGYSH04A7WZBKoTKY4Lkm3kME/+IfKvSETZTlE4DxXUdR+U5VNaOZ/jfrxy
wOawB6PDsUFiVNOMQa+jfO02wyUbnvBEWDXMQt+1f1FQ/NkrFSDiZ68MQifvw82lZeRN9CCGBSkK
7ioRS9oYeTbg6UXA/oeoO3eD6foozfYXN/xZi/HuSriSKgYIu+vwVGbi+/5KdGhkpgK87Sor3Tu/
d7nFMML1ACvk5jWRnMSHVr84pPFnxwSkxrCIsDNucB+ui5eN2EkTx1t5lb+lnyeUJiqHQ8m8cQVq
8lRk6jlMus9VaBM/LJ7MyQyXvvYVAUOwDLWiOJdDTlKbtTcKl6nT7c8/N/Yf6hTiR6nvKHDR9JB0
Ob/+N9XdoFUGAr1WWzXw2dg0bH3H3/gxXxcic1EVJ1N6tPkQ9YP5LXZIt5/EYwOKaNMK/0tdTai5
hE06V/ctDsNNNoD5wlIBUyi67EWyRZ3Do4poJ3yUz4Ln7dolI7BjobJHNLmd4MkeYjJ8ARE2K8Jd
qk3iNK9jpt+q0f5iNMGKrcmmQ49rB36/7mZA6s/PgPu+LeNhN6vCdMulyOW7432sb/MoYhJKOtmq
6dxbM3Ou2DnsgGdrEA2HdJl6bb1unPCsHAIoqNA60sKZM3rSZo3Z47qt+2smNDwMMBszX7GXg1nz
gHexWWb6g1uRspt5LGENqz4FTdvOSlcmWD1RiT1sYlIXTyB/+hX7EbT6BalqgbzpLO+LYUZnBkYh
0gP3NeGtXQynrCdVGVLI9IInv1wpszqvVbTqeKGw9S/SdDgNcXxKyC8l+td56tp2pVlWAOCr37at
OCu0ZFvRg6wHL3FxUwM3sXOW84NVrQuNhG69J3+qzYbVaCTDJoRJjmEHJ7duHEynfO7r4KJIH1zc
HVH7+otL8fH7KfHm0qS7tHazeubDnUEJAJtuZVGPmQC4d46764pdhQmo+K30+3+9HvlPMjXaNBlv
TvcfXI0XLxEDlLezE9YX84/8mJ1I9xMDDkphvAm/T0h+zE6k8Qk/o24DpkUUym6Cy/K7r9H8hObt
uyQNsePclv9zdmK4nyS9IhMXz5hd185fmp3wRfzw2SDzBlGOxQRXkl3BHfX9fSrqRCXtgmCnMi2Y
JgLswKmNtEQnqrUO12yyvY0qDX/tZUR6rM0080+GyNMND5vqmMQomf2B9IlVZ0Wg+gCgqoVptq4i
lZVt9BZPLoWjEUEB9BATr4O2lQZz+h4xsTdWD1PkpHzdinRPRFW4y/BJ7VTWteuuUXCoUDhcRKiu
WsT6beetHMtmhQKCEiQ6jklw3qZd1/nelKl9jOiSGdyWwE58XHJnfVyT/Kkn3PJpUwft1W9UnS1k
b3hfI6+W7HF6eVY4cXQoFA4J0JZTcZKOJe4bXZqwnPWQELOkxKoFm7HukNFYChNMnMd3pCB86Sc9
Oovq6Bb007R0gqzbk5lRPwkxhUfbZPLq1624EZOdnulRbG4HbJNrfONEbo45oI5R0+jqdXbGdQrH
MZ/WHqcOE0UcLrWKpEssi/11jQidWb48k8WQHs2gjWiIkhecM84CEGV07Usnxm1fpmvH7cZHWFWC
CPkJoM+ka2C6ID0j14oZNB1I84sncLgWAIFGEeIK7d+RR60lQRPlP/41EkkNo1qUA+zVRYaQ6bMR
TPqlGJvh2uuAme4l2R2wAuOgukisAZwtxurmqSDRvdr30FmOImDLvtAZzF0UMsPpQ/IBKKCsRm11
7OlGrdmFyHxbc22srcg/vMuGjANrCVWEiOecVI5DM7Cz90uG9fSqkkiDgHT1aEOxzxO+n1k3XmOe
R+wtHknnNjd+0+fbPMZ2wFvq0usq8OTnEs/p2mnlADIw6y5aEDZcSgbzI/QvicrE7OvuBixgGENi
ssx75fTiriiNmhCUvjau5gyTC2EyeiFWzS8IK3XTXebZQKx7aLH3LZa5r6xN4qsmCq21pYUBKa/R
OAannrfUbVRKKp9Do0l8hBDRNSpTuWOOru9EEgybDJRXuvST+Y5cujP6KW151N+YdcSgsu/QEIR3
ZLIMyyIZu3PVco6Nxo2/DG6lLp0CoJJjsxWUdX7RDsa5NY6kB6phYieVWmcxDIiNQLK1rIndPSNl
2sq2KfIavtUY+rZ9DYSchYqG3q6EPAFwlLXXBMdqcFY2a7RXN/a/tHDOTsRe5md95Q37oMTagtrc
rXaKzRPruaE45FMjSV8wDf8ibtCTLMAq5EcVwSvcmL0RIY7RI/cKFlBzB5YybJckPbtnjWfUD4Np
A9Y2aiABaAgLcSSWXQ37XpqN2sM3FhESGEuOj7bORbppJFqXxsmLl9Tr4TwvjUqI8iT57OPoMtiy
GfdEiQ/DPoxdx8BT0BE0TGoAHGZL+L73HR0Zo1qyIi5FAVyiV67MDpHGr1/qRjd+Ztlm4Ftqs3vD
HP4ve2e2HLeSZdlfyR9AGuCYHzsQE4PBmZIovcAUIol5dAAO4Ot7gdK9l6RUkmVZv7RZvpRVVaaI
iADgfvycvde2ikNcJc2OOcYCMmL+kW4xjUAdZImG2+jaff4pSUa16/1WYz5sOR/7xldHw+zkpab0
Ei8V+m/Mmg4TFFL69EfXpYMm0VBdII5ichNr4XbAdOmg3ZnNq8oYp1MpQ+Nz3lKEuG1n70feIlbY
Otp6aVffq0QYEtXebE9jgDuveoyGrrqZLSd8SjVSETKXeqZV44CLRecPG7jeoEiZszXuIFba8j6B
DeYxf5ReFHSwvcfbSTbuwGFFgpmjZpgt2PGw/JaoA7VJwJni8xIjp66ip0FzURZuLc4KpoTFxhaJ
Am+eRfN92lsCTg/2HppMNCBjyuCF5SPsMhoCT/rZxWhXGttLZG5ruDQltRfHSYEtbTf51RzoPqYF
WPpXOSzGY+sxrdSsceSwbkUzsdQ8gIWS9aF30lmCzIZDNI1jcRHhc/xgJ0107F6ARchF6y99y9cJ
2oxXYiXVWONX7XGIR7Db5y393WUA+cJByl6YSAT0TN90q6HnOWSTf4obDdh3nSYMEUjTmE0wknrp
7xx3kV/qxQREFcyQBe4irvJb6brkJhY5kJ/z0DHjZO30xCaygxHwcIU7sD1X5IzQpaRMP1O1sNQF
5Hm1N22HtwAv33mFPmuvcPPS1krHMUgJc6GCjLtbd+wJ8chb/WvTzbcWfK9lAh72d/qYWUD9NfJ6
aYe1LtrOcnDlSsyZ87WNJj1fZ/XofGp7u/cD0KVptM+6eYg3fePMDmy+JQVex/oW6JOanpjq6x9Q
Mam7zo+6bF0NU3fnmLp/3vAOr0ZNWLeGbKxP2CgLHFWldZA2/lM7bRen3HQx+zm0596J1cqzs+MM
EU50vLAvVNHHIq/wl+IuIAxDzNKxL5O4kFpQcCtx5sHTnQhrB4W2s3LLfKZwmvotJPRiujEjPf5g
x+aw/HXdO8+Mwol2iVmZH9IxZb2j5dTVhwaKY7tpGahfaW6fh4DDhP+pzv1ibxBOXK0APNIysoln
hmKnhZALnZh6bYU+NbPXMpPcaPwSaXElyRHpNt4g888EO+hXbcrEk8EyRhd6jFNJDeGPzFbdvP/c
FMBPejFr6yoKZ8RRkS3v5GxpX9HK4Oy3e+miEojIftd1ECUQvIHgBiJfQrqZBR/CGGDv3iFldCQX
oZdPMo91EwyBihixcuR099XUYU1sezBNAZNWeOixHrNgE4KuSfTLhbpwR73GQ192jiIV3KgfMfHY
WcD5C+Nk3MBttlTzzaMxsK/BqHzrrWFOyAgICX3thGbLgJ1p3uBLIY0kTfXoMxTA9mhDQPoEVmgu
wdzBjBuM6oOnOPigQE8iYwNK0z4vWplu0mJIe5Qs5SNTh5CtLGwfZtjBZy2pcLxY6CQux6xmTo2Y
rFuFVQY5ksCTFM2pl5GwlPXNdZrMM6982HG+z00yXwhNb/rPSU94Ll0NzjuoboR6mOJC5CtUPmm0
0VB4nmuWF33oEdc+oa0yC5QOKq82VV/NRpDMi7V5CWwG89/WpE2JXopVI63F3W+CjSNUvED12Icf
h6YtmXjH7a51OrGqm7xGlI0KgBT4HQXpPtMzB7JHSpY8hl4SmHTSgEh4ZTBhegqYelFaaD9dlsCk
yOQnlfhwfjF3Bez7rCcZT+Uh8sxw30V5fayGSN03IczBvCOYGhvE+Bk6Rg4At9WbU9QWXhLMcWx+
G4uFijxs4C3Pn5lmPg1J2IKfI2hYhogFVt7kzNANJ89e+QieKhJRaJqsMjiduwkpz4SzoNUfDIvd
6FPcVHBu59G0r80BAROmrrTdmG2eN3usZbAIlM+hmIW2zE51ZDOpmlkg1nRUYQA4XqwNgVP59Z48
HwyK7AFnJMPWt5WfqI9oMxc+VS7UTuJz7cEznwMYirVV06XxtNdk4Y2YL0sExyTEk/qa5UwC7YYP
bbpZcWJ+1T4IegBkRA+Z9tQSjUXVKRz+9ui1N6xAusAabNZAcqGlXuu18okagHKxxh3hXwMfaO9o
yqNoDB3QxisFl/OLk7jEaciasJA1BRqefW+sv/WRy9vhdgARznnxKAwTsK9ffaeX99gvzCOzJHFd
jIb8gPgNqbFZ9xWbXeRM7LPRRB52ovk7S1TjnqdH0b2J9f7R6iY/2Vdz4qM0c8HV6RXxFAyllYcy
czLLYZ3KTlsJXcT7nCytaKVJN3pggu6gtVTYScHAcAO7yuzAapea8dX3ZH8wHAVwWBRVvpq8pQQb
uoh6oJgFAVZkqmPwgFyFInSSxylkzA3rYKo1cEmh7u/i0iqeWCTSr6lS7kXu6SmAhbEpN/xmehWQ
zoUAuDPIHBxxwGI1DauPEj7vOS+rFSSJ0mBpmsbBMJNx5ZkZ0YjYvYELk54Tu3hm1rjJyAQwnNSM
g2iecA0T6vUY+TWvdov+7TSSNHhsa/JXV27ijQVDiNY4IbnC5KHHEShzcLT1xLlRWYSTVmI8b4kP
WTVzhrPdjPMrM53L68p1CKEatMgJUOewsNQVmmKmAYHNIvnVz3VAMV5vf0H2Np/GvGHAVAP2WGQ7
6akWFdEAYx7d9QQgP5D8q9/h2uT857KHXA51HaqdIKm+A6gjuizgxdLFttOxb2P+aM8Fr8VmLFTn
kci0Vx5FQVneTdixSY/je9+gYvCgmtT45XvXd8+nqMyLoB/JJZOxGe/HmeJi3Tr5HIOblPGjY9YU
i1VIqpXtFrvFxR5tbZw6RHz5/bVjQJTPuQH3PviVO9aL5hiZfA0qI4Y9Q0Y4QqfYcCfSW++FQsHH
DQ05fn12U1bb0beiu6aa/9Ayfz+fQCai00eg0/SivXzpjL7qfKJaBIpWYIZC8GWy97vM7cfK0c4R
8UOGxK5cPr5quFx/7zS/thC/HyIxVEMEQpfxBdLkLI2U171Wz+RWmkRW7rLWSG8wc3SXVrx4YkrD
PSRMInfg1eM/aBjeN6CXrwn0jvYmmldhmO+a3iIxqjl0s3Gn4ig/Utd013RS6XnraXwPXLbfcgh0
zqRSzfd23v/rJttF8q2tZPXcvUeH/f+qZRKoj2hf/c9apuv+kab+U9tOb9px3//Zj3Ycjj8Askvj
zWblR5n0t4PQJs3ZXMYXP9TK/Cd/SZmwHVqCgRu2WeKJxeIE/iFWNnSSo/G/+uAPGQ4hhP5PpEzL
g/p6kOKw8nu0C9mSrKVz/u6Z+kcLh+focwhzWHqUCNhTAf8v0Oys6ccttMRjXZrfXv1Sv3iHfnpr
31363SBWAPfNMl2CsQL2RYqYzJDlzvs6C0+qAXX1+6v9hI1cBmoG0nDTRrdjiZcE3FeLRBoOKbqH
cmJGlVkYDMIu8GkOrUdPZNtJ1g86jKMdd7rZkAThbXx3QM5a6/Z6cPqHBWu9suboY1pk14gSL4BM
BWaf26tODz81TUhAXdOBSKnSc8OEXf/7T4/47d2NcgXDV8+zETEtKdXWuxVHtAUkq6GxIIR1DDVM
M5WriiYeW6u11FUz6DM2rPVMf+waBXpyZ4VkW46NziSVPVrvm4dspnORejoMa3I3TWtHG+AUEX9L
JE1CwAQdmVHx3xUFOstysW5AwN/BREXY4E3NWdQI/V6DSg3qIm/3FRCxaYiA/99MlR6kcbIZ7PjW
gsAeTeokGVxkigDBvliP4dAFUZLd4GW8rfMJFcAjbFtsl+PqywhXZudOuAmpm92LqvUpyY06O4Pb
0Z+hvSiRjDhQLz2+zAgH22oNcydyEd07mX5TajkdRJ8rm82QH0U0Tl/ToiM62U/pOsQdG2Wajyur
KdmOmRu1a8voE4hFLlI9JKp73c3Y5VyOYzYC7YOFTfPoeewclp/KazWEFt4PWR46WXlfTF24GEWS
6srDLUd5uvSf6bN9oUXhb2wVi1Ntz8NT3Xc6ovdzJWJ1qfQZJJHuScLuzKza2o6YDyWMIOS/M6ru
0iCGza0fkyR9TKKKLEQO4lgJGwV9d+EG1S3N55iok/wzFpxDg8crGtAButwaW07t3pD8AxKMOcQX
YbpmO2wuOIBtxr66Jw2v/AOLQSxd+tcLB6UGbRTHRIZJOei+19MB/DKamjCMTZ/nxJSSJFaRgNJ0
cQanPqrpVNjmfZKI8TjHvfYlDok+ovZpaCclDS1v1/wwiiGYl5ad6nvvaSy96c7M9HwnbdIhHeyw
t7FZZZ8A9JDnMIb688s79d9N7Q/+eFPnlr1afn6aL90lWZa8wWb++Cc/NjTv3z5568ycvvveF4HC
j/mSB1FTR25kIFzwXnlvhIecl/8HFEqWr2Ub/Hs7E+6/mRIKJlWok5B8sD3+ZTz6sYfgWaJ+iJ6q
X+wp76CyCOBATbDPGpRIFkokexk+vVrlQxPkoiqF2Fu0Nw9zq7IgqghQwtN9cEeF84NB9xq6SbVR
dTR+SFRGzp9R0ivTu3ht+LhyCxB539JYGmuY8O5tibPirNLq7gIrdfyHbeltTffz532//2qT0yXe
ZOxxt6g9aHG6fgRdonAJ13qto2zBcnjBYTP8gw6KIeybN/jnS7/bf2vHKuq2Nqc9OR9YTZAZXdKu
9LZzM1ZkdGvVmn6aBuOcARbA+KsR7wnhNX6x9l2ffaS22/00lyT3aKpYVUvQDPO7K+LXWbRrfj3H
HJckowi0PhxP0nFogLWlvpcYpGtM9G2eLMg+vCtAhljg6twbHrJEm+b11KjmuooLcIKkGDBD1yPG
KS45zvmYEDInigORPdUFjcXkAoaS+hz3qlsbWl0dEyMXm6mYycKsOyKHvhHhq5+xSO0YOWiorsjd
ipShw32CF+UC0drlZk6ja4ySber239KWmHFmh6J/wD+ic2DVQAUCtaat3ySbNoZyWIn0AwCvq35S
N01at1Tda5VrD5Ys/fMuT4vDlPqfJKDqnY2/o50sfT3Fjjimc3RRFAVHRQ79a29K6Tr0C/IbGNTg
uV/hws3rQaFLEH56MAc8mWKYrjiV2lvZZN2mR0YZgK3qDjW2LHRfIUBrvLUVrb/t2Or0Q6p7+qCH
cJ5COP31ekB/KTQCVdIG/lporyKCVbdUQTC8okJuk1kMu4oA2o1QtDPKkXR2+jbVhi8WLyax7sxu
Hf2LigBTgvzr4sVrOhFBnNyo3jcPvDUrwr/Ow8mnSPLEsGXKd8/kcbghoK1DSE6yUu30WNBUvQdq
e8/piN5+S4u69bknxNDEV36PAnIgL/vox0uZw5xXek7I7M/Rd8SthGcWtp7AE1j1m4rGFyIbO8D/
vYgmzPleGxv8qHTjCAUKYE2ezWaLMT5OcvQNPM2jTYIRkvlq1XscUc0MNriKYjJC4M/tsDidLLe8
77KOxDBimZrGg6YAok7319IhHAaff722FVFVzDb3pCCpIIOmFZQuU8QcfhMZA/VakaXWD769x5rn
kiSGfcv+WJYSpJk5eXQqcHYT/ZeuNWz+QZinVDQNVZzrpbsmV7dQ8fVzLcLYSgKQWo85A46q7ji7
V3V2x2BEW0+uuxuVdYd9d1yT70sLe4pps/XppUPk6gquh1h3QIuDLtVRf2hipyls2EIDjO1gVRYj
XAOgZJGdnTWFd5t4qLCbabzvxoRBWBJ0XXw5NEa9J8FirZjOjPLjnDdXbsP4x9X72ziuvQ8CAtMW
mdym1PuvGTYueJDtRZuJ9VSUQArbjRj9bRMX37DKbroZERsYxyFoBGhzjHWX/uTEOwMSRpI2N4ny
DxgCrkY3OqREwV4UToNnKgS6to1CwgNXFeGuJ9oAoIEo5e5GSb+eKvBWkzrC2gRlMyD18dtABcgU
u3VISx1N/2uc0ybS+VpnGHXxDudwEJmk9kwxiPncEkWA8j/u0VEybty3NVQkkQk0Q8iiievJ7Bsv
FOEqH/CuL+rEfc6kb4FukAFo6R+YEJO84zfqfNJVf98SF7WdscHTntN0juqGpLfmJgRwl65+NOiS
nxGx2942YdFfq96s90kloDYTgbHHRBYHw0zXqmPecoRUcFVP06EV5gQ3ObufyrQ7ZJAheQStj7ik
kEvULvFYU0QsnODYgbC0vRSN12O9DuM1QVUZ0mLK+TSjnEd3nJxF7kh/XSPohRD4ZOPqQ8hiJ23C
mLSDG86sd7TZitmDfU96Ke1Mh+wAhTJXM6pnNyr3Ok7iHRxnEWikCu+ln3w2NUIIrSS8cQHaBkYc
alv894oconggWS01zgqanpdz+yd5PsXGqzr0ZRfjVCRsA0APx1d3UcW92vANzQLmmEljX/nVTZUU
zr5IF/ZpbJ+/qoF+VVq81df9fKV3pQUWgDJm9G7uh6gHMhD6T8Ysh1WuiyooM+fkCCYko42P319W
3poo4T80gMy3Rff3j0CvAPHh4o7y38O0vKpUaSlnY89qRYwrYw6NQ6hkFg9Gda21iP/Jq8zuOmiH
e+LFmkvoZeOKbF79XE/D5pyeEQcJWT04CARvOJ35xCy1i14TNMmlDbwNhqeerGFbRnsyjMq9GEe5
wajEIljqh7bRvb1bR88AC1CScSAKira44XNo6GwWS/ffvZRf/OS/urevv+67M29q5fBMMtvYMxwK
b2U7miQiQJaBGzAHv7/U22bEj1/WXaRP/A+UU8t//voxUlpYdDg+90nvPpM0iOnZtr4wTynXrV0/
/P5iP/nHuIO08P652tJefHU1LQnxmVap2NvJQOSPbX4yi7g/S1X0aCQtmAkn6677mNgArxPEJmsj
ApQM7Q0hud2Fn8KM4U6uJa8h5Olxm8q+O/ThAkYAkLxOEm5hZit9HXepvRZTVV7TI2SUnJHTm48G
f43oUEij2nFcipJmKU8s6pTff8+3XdKXH5WKnxkHpm+Pr7s8zq++ZlYokmPYR/ZOY0cBaXEEhpki
o3RztGtkNAzQ+gbY5++vavziRX1z2Xc1tegqFrcKYAMU70WmYj+6mcHO3IbZilhbjVzv8TKEzXHN
cKPauIpZ8//iI7Ao4YQEUwDXbyn7X33znBw/WReJsTcTzP6SLTGx5QWeRea+na2t8tq5sj2detN0
vrDqN9vff4BfPM7+6+u/e3N65UtgQxER33n/xZTJeNmVoXkoGocHW4v+0AxYTgr/9AK+32fH023u
sQFO8z2YMVZIbrrK0/e2KdOjoeAJJRL0we+/0y9WA37Pf67y7jtJUzcHQo+sfYHqaKX4givJpLMr
8Ov951davoouPJvT6k+LQe335Tw7xBGFSq2UZ3zKHTJsDe0P3+iXT+rrC71bBzh/AAgGvM9uUrtP
iequUuFaO7/3QuR6vXmXRR0Yf+IA4qtmKZRF3dV/MO784shs6bpLQ9TT6TFydn/7rIbxqBpyMs19
TzA2CUztcI9AxDhDXWTua3P8UNU+gV9DRJAoEDYiFuMmcBug7G6hfdUYaDKz11gxqS6IbImKT05r
5tdGIj6mLbyK398b8+eHjSnqErNBU4JPjBr1zavFlC8Li7nlo+GwKicbqkxMMDOcIz1wtPli9J1x
U/c6QjGkhpFCZMghVNsSdE35bpcwv0DsrNuhPKNMDTdpZeAi4EwjNWOiH9k817WKzvRmYU+Z1rnh
Dg35SS7Hs8lbAoKTblPPxGARWNHg7H9C+w8gQDUFhtHBOkopb1++8n8bVX9oVLngUGkmvXo+fmpV
7SpKin8oMX//i79d5MAXbR5pVmIHfznPyvdOFfBGB+GuwF/zV9fp79GLjdwZabRv0HJ3Tfgtf/eq
jIUug9lFR9L+YnP/j3pVb9doTLB8MJpl7A42CBsYwW8fZOEyX7FzpTYAiCsa7/GMW6MDfWcQ0qYV
6fidB/o/9sberp9/XY8L2gyj+D3evTh5ZJLvBxkaGyD0XLyAzwO8Op5cevCv7sEv6jZq0Tc7wsu1
2L4W9iW1qmvr7/a/3sHdZcZAwhja0oErbLte1g3jLBWivsjCaLjoZ4JsctGV66hp/Ucnr4ZrWRKt
jdQVgQfYaeOALAzZQLbAK3GQRu0nC4kbm4uHeMtxIgO+jZCkmcx2GEjDRXCYjl6M9HrOR3elzOpJ
Q5aNWCQz7guPwM+t6VIgn3dWq18nOYirQCZziHrNtZ46J67oOKh0kQvm/XNP4M4TQlDSm0taNVWY
z9cwrhyTdtUU7ZqhJ7e374ab1Jm18wYS2bBvLFJ90eT5fJTeDcNPLGHIngVdR1bPKHejVeRNLjLk
SHN3NR0KEhjzVGsC8kI4tkIIERUZ4kP7XHBEO7jSOXMjngcDvfFGc8tjOTn3OMlZyzLsV4c50ubz
BJHjNalZFHPkVlihTiB1Uj9oBemtLKE3qTWjU7bdI7acFsqMAABYU2aavtYeJ8rMQO/7ASYRuqLc
AGC51hyizGFCZhuDSOiDNskHcJQIIEcrozmXVCvqf047g0thkabbXPpBHBPWZRpjB4rR39DXn3ZZ
JBY2yUoK7XZqhjWnOMkEBhUwzWKLIYV/Jho6AhkKhSBs23SFgOa5TBOfpljK/4KeALN1tZd55wdD
7pakF0rCkS0uLpyC2Zan04MCadZXLa9OGX0lj/SiKEEOCic6KVIeVoYkKsgqtR0tgpsqa2Fu8otm
5oIituI7QhiiQB/Fo91jNMjcs6ZKsQYZxU6vaZSgyKjJWjNvQjNDEl0Yj6lTbBlUNCgHux3D92dd
gFTKUJuhVXsmk/GS6dwzvKJj0UWHqM4MstyXvSJu7iIkqZxmkEoN53GY7TpK8BhE2QYoCc8dw0jE
MiEmhGNqWhTwKdCmq6ZDq6hVDyVx94GCyrcyVX6u++OT05PAmY2ts82KRRQ2omoCs0p0JzKMTW8i
Npq9ElGhD96nt7xLMcXRpRmOpziUn8ZIOGholeTHyJLACbX70IyOJDTrAbTtkM6uDAPh4jnMoMyP
TkQQZ1btnFY8ZMgy45BgDQy1QC0V3Bfb2gFw6FDT0RVD5IzftUITqnNpRwntDCPysG6lrQJu7E1c
TH4QVoo9N8/lim6IyQhVzPedxqk6lO690vmmpVsch5L7YOn1ialT9b0G++/m+sfN1YDQx97294H8
p831/5SPX4uv5b++lo//ugT+ePra/utM5vyf8u2m++Mvfd90ffPfOITZYNjS4IcQ1PjXpuujhMB6
DYfDZ2IICpwd7y+9A/uxa1N+LvACl3RKNq8fegeUEDaTRiD2DL5Bo+MnejcQ+u2A6O2Z1MUTZaCi
0dF1sCDbHn/tTfkoZSPxr4ztLlaQvFK7OJW1B6nNZWWKw7beUkg+U3TXWEqzE3BC2jmwWIOGtMwp
qYjC8Uq5DkeYbKFKPg4Vr+2rH/kXu+e7U8HLR8S3pS9lAb8I9cbbj0jPn8ohi9qdV4AVIJFabCi5
kYDH/nEAcmSZ46Uj+7WM8MRkDq/X/+oD4PQW/FQuMqe3H4Ao1NpTFjnRL7hdcx6HYHHQgJ0NN/HC
SezDkC63T88hJj2FHGr5h4/wrlZZ7pIHdUM3LNQauve+VpFWQiRpkTe7to+AQxnufR+zBjZ/GmO/
G4J9/63xEXOZhdoHkeTtV3XmUHYTnKhdWeGH6VC5bd2ufqiawt+C+02CCX4f/RjGgoNSBBaHOrG0
o7ixGRoeC7TLGHDM8KtMbbVpR6Hfmhkb2vJe7Hx7bM/6kkC2lsywjVaznGWZ5dLKrYk/77Gc0Uqj
6uvFdaOBXIlDfsipcT7D6jjTW8mulTQgP0t2Oxq7E5PxOb6Ywg+zsnhaC8AooOy31qjGy1Fmz4Y5
Zxs55KdSK7w1/h/QnP4To5Bbc3Y//f4heTu4XH44XgkdtbbBoJWO2XIHX3U43LnU8yhp6p1tohZM
xulzilQTy0UHP1vAGYwZ7rjN4P+hs/GeHcOFwbBTzaMQwIvNMvL2wkXtu7Wkyb7zCCPbeMzazlxv
7vYUlmJNjStRf85DQDmALHzihS5RAAeuV3JDiQnf5HG0BUjqw2TinQL4nq39kMli1ahpl6fIgpbZ
d0abBBTy73+z96KJ5bM7DMZJVQVtRQPwXQmu9741TAQd7yBRlutGs+3z6KVqGmAoq77aZG6X77qw
Ky4pPc4G0zhb5tNwu5cN0jn7vgBZI3GHR4fE5xVqXCjSGl+aMAoK3ZzoZWZh337/uX++1wCTMPQy
uCfg0lqspq/vdQfzV28HPrYinA93DasSBIPs+w/dOrUPnJv6TLNy8R91lpanjCsvCZy6Yxu6/Z4Q
1YsiZMLY5rtwkDX6eEI+/AT09u+/39uWwverLPwCinG+HAvO2+9X5nVhak2e7+LJLXcudoEDEMrT
7y/ivchQ/2mTfb8MkCuBbM+gJSje3X0Yn66L1ztneJw/h27YQkiQFE9RaUrYt7zkvqbYWwYI7KUx
0ye182cjsuYbQuI3dtnH7DsUTYYFlq+gjQiHPdL3ueQhz1IlsLtpSUCE1L3mANaF13Up8Eqe4ZEC
+EJk82qA1r3VTAXhnbHFBkbiTgdQHtjGKIKk8bUNpNAUY45tHDndoRXvwbv7If/eajwPWS9nRegj
3qoZYcG/HFyJgfK3Za8RVOfDaRRCfhxhltGqYupEFumpmJOTnZo3RT2Hh7CGm2NRHgP7pqwnDgS2
WbnXRp/8Q7Bt27xKntuIupLwOxMfBCV/BjNy5Rk832UkkVvX+ckZeAatLPqAmmPeDrl/D0aNJ7DL
+Nwmlj8fPTSsxI0pugcU1GRbLas3OcPyUz1Sf1taS+zcWIogs7hY7qfWV0OfWJaFy5iSclZGoC/N
poEK7OTgFoX9pWxFGuAJBTFBe3mFVYSNeHYIgMzTZyPmSw9R560LnL8rXMe3oDyenIzdUzHUjpRi
LO2xcKu+lpuMDWSdkiPAAEV7cEFMr62w9QM/NiFu4s4IekvGW9aycpfZyQl9R7nCn0DmpGQHzieG
gIVVHO28vksN/76RZKoyV+zWWejFO4ofk41lsILc5NaUsr11EkIwi7q/osDYhW55anWJbqGHRKO5
IBD8kTZEMbFYtk3qBF7ubJsmfyYkTiD7GM6bboC5nT1zCvN3DF/lOrL4olIVZPKZF6HJE0i0pLdG
iHmZhRXHMQyxHC04Mooe6V5Y85yjLdc2U0V9hXWmDqYhe+YszBPLnQUo/2wbFf+R3tgfhww9Yhlx
EBVWIZEQRs/VIs8pMQivYKZ5ay2ujqPLCS/msBXkc3EyqyK/6ungBITGeXeMh7dzGp8wkVX7eMIG
50B01jssNS3l6dFJOVW/3Bgqg0vpEHJA6DX8s+XZnRSPjU6o7EoCVl/VcXLyQmpGOzJvTC/3d92U
nzx9IMuVJ9xgSLN6eXDbmc8dluPWHa1yg1NsN8HErX0KmbjRs++vQMETBiLtRnatXNuLaw5xw3xR
jtysPlmqDY2/VxW1ufJiniDT4PZLndcF6wdyDtzoR6UzdTNUmAS1x0Nbdcnp5YPzcaliaGFv4RBP
O3q+KCAxgX2ix4AJt9NZr2sm87kb1xeV7zew6rl37oRPaG7cM8OB4GFDOFklHQCrdByOlQKPl2Zh
uh07ToJYn56x/bFgubQIZr4Hjy6ImuUGF7p9I/Lmoap5r5wxfW4cPnXYpKeX5aJ3s+dupI72IIau
ypTsrVRydO2WE37tEKrdGh3HecWPyGGAemimnqJKdlcDk0BGwekxJ9xtjTLZgyAPZdmZ6wdbVMeX
3cnXeYp17B5bMIDhQTjp86SH4bVIqy1kkgxnOiSsVpb11h4FjFD/scxZTEzBk1tSdK2YkX+QkvfY
0vi7w4JAdSp+kNHetW5+6qivluVsAnGxinPn8mVR6m2Wl7iTDzSg2Bh751JUjM2b3L7hvFPuEoNX
xfHSExGyNGVMWh05Jpbvp4l4KVicxMSdyrbjVO7lyzdUU/a8vBIE990sWwG5MjddzQd7uQe18C8T
kIZIHULEH+roRam9JFnw2JResQoF3LEKF5OeWsbRbulI1FHOKJdHpdV5GF9WOo+AETJFvftqsllR
6WSBHfLVlfSmbjNqvL8pbyYT/Jl/5ZEXnWcyPHTL3Rk1njxkn8c5KvW1nfIejvU8Hl5W4mRcCjEC
udYKfw1vMGXWNHtIUfH+kbFYOnwSb9zKpWPhSW4AoOJ6SwAj2HXw/JeVD8HVs2u2H8mKwDPMn1/2
FTPjQ8mleM4cm+5SuJnibNqZIaLhbOKHXJ6wcea/CTPrBmBNvR1mbpWqeOhan4WH4RuP6dJL8QZu
jelTUCx3F//ZA8E0hMrErPqcgspdE/EHm4FTwcv6my+rI3G5dNMywyRMssJDn8pus+xxyJZNZOw8
1XbPC+TO2dFx+NRicfClNWkUL+UwIQCwmVWbXWhhPn3Q8cHt3YK3G8ufucJTe3p5VsquOAGrfy7n
8T7U04kNo6WFNPBTL7sNRl02xo5XAN4D1maXvEIHKx5sB8w/VgdcB3N0D5qibLaA/7HlOW1yqRYu
LuIC6nPb3eJsxPgFEXvNdtJcsko254kVkxin6BlJu3BWoxmP696Y/W3WK29TVT70qwZ+YCXVpFZh
bCM4q+foFGMTbimnrWQ7GDXhNl4CFtXFxAoj47lqqoewLbvtyMnqm+Zn851JAOW5XuIKimoiYfHc
7zjnJARoGsYDo3MkicWEJ8w1k3VM7PnaNGd9H+XN1p45JsHrXEqDesDeacfutdEXxAzNk8BlimYu
W4JLvOUAl8XUyc3cXppGbG1da6St7EenXstBn7tCBsyTTDCqs9xmyLTP55bXqS5Z7JdjHo65bB2T
JQsLG/E2TqN472u4s4CI4E+jVRmoKqflaRV6AOuDRn4eWdQoCJ3jgl5wOfGLDaJ9SmcKtm6wa3AB
JfkoIeJEhn1nnd884BAGVtLX5PKZjroYTDIxM8+UO6gQKagoK+Ty8DrLjj+GeJ2/PZfA1A2j3+Ku
PtA7/xLlkXrKujbeg74I12oMYwTkzjd0KEwYpm89MZgoeFABLG7foPKGDNBcB21IgIBOszKhM6vT
ebMqoXOGI4hWJCYBnzSRTUnG3hBZWI2ca9j2AfNeykSicSNiWDZexD2N4gtUZucJWC4eQvXB0NUB
Z5m38hKAZL6vPdUOD5+rRIYujFCdrNe+2h2rbtoYZFjM1k2UpQJ7on5sNTNblxFLpp72ct0mhrZv
klhfy7HgrV1OPjNc6pU+sywlffJsjJW/jWPqJyNkpanKePpgdlaz3OE5UDk7kFU64bMC1hGQzpV/
LJveIpdYf3hxR2iGfChDWhxF1rTfotm3WN6Aqc2O2+2yiiI4Hpt5qzIqJp0zXIaASrBwLeu4pWXH
pQvcRCwOumF3G234v7ydR5fbSpqmfxH6wJvNLEiCJplM7zc4comABwIIuF/fD3iruqWUWjk9i1nU
OVWlqwsSjPjsa6pgh8Ivf2vp6AGAEg4srqlfU8iUunFrwSFd5WUCKrDg3FbLEaVh3tnD8DXoFe71
ZX8r8HsOowDeqVb2BE1SwfI5l5G3wfRh17oGbSHZeoV19ldliK+ZU73omaJGdvTbdh5T2Cn4UQ+i
HS/Oa6VEx3Gu9uIbXJnxFTbeaCCbrd478tjqpnxUWvaaktNi6BONOQUXgySooTGcndKBT+NTVa3a
oKO6XsLpjCnQKUPinDl8V28Hx39g5Py1nopLCozxZsZhkyrQOtWSukYzgksD0CZ9I5TizhygbYwI
pZuogZlsvzqkflhPSPcKrX1xo0ujfj07UZWUyeEymc9tThjUYG2vNL+iwOKdwmnmPaMN9lRZpURh
IRkeigZ72E5y3MxleJXEAP6yTECgJK5FaEGEWSPGK02zTMx/gyVIL5SXvseH1Wk7cH4DNaY59/Wu
THCarGS1z2Njh2tDe8B74L3UxHtMtpeSPNSWzhVi9/rmnNG7kSZsKXea5azGHJOryAbOG1MT0Fxj
r2RNWqjxgTF0IWeWU5UXq6VrQaF+XHkwhjcqli9VQerpBzVcxzVXCtwFP3bZlTvA1NHFxGRyFej5
eJ25XXbXqD5h0o4Dd8zyZ/QE1R0dfXjOcmAzysukZ8UC8tHfxH5gXCLkQ9Q3OcOjsOa3Al7/d5mM
mPyCB2QCggJqUCmMvzROU4BRwZd8aPm3yOJdn3X9axH15WVO1juffvrNsPMQNaJZfWcIwbfK3Tt/
THYuWr0lU3sY4mSutNZ+LIMqx54RcomD/uQ0/CJTtuTAZSmjKjghLTUUQSGub2VQLuaoQb0GfIG1
li6upoQwxjAyCwsPmnLmdBeaQkegr+vjZM5zaDc8fsqRF0khvoJLNq9z2SMKa7M51JCQ3AAAD7ac
dlKc4ifqS/v2nHsRVGg5SdHD3xt/50/jBWaMJogSD2GuRR395/FJn/ZeH6dTttNKmk4k8hCx77qX
Bpc+dBuLeTtrBjs2xa/czTke5mahCDX1k9M8+039oPsJPGRBo7uUGcrTtRBf24esj290c5zXkKa0
PehktA/QfUFEqL9xCw3lKL+jAO7ix/Mg89wjsQ//nnSFeHdHJDydzr3FhAMpOq0zcMmYxgu3HovL
UTMo6PqlKEWMa92xNKVfyoB7dg61FwJy/zRhCr7dnfK/p1okkd1vEPmIlypQLPtBet6NE/vRITOM
8X8/ImcjANgTJgnStlAhf32laZ6IIj5z61taDt8boouWfe3eNSm6gOw+JefAyxyfFS3XzRgoGv/+
s/5hKOYHLDOwcISDyTz3148A03CxrsjULvVamw3nLPatpE4SboO6spZKhJ57naVlYn0yrjorpH0Y
JNG+gytDjM3GAvLDo7nZ8NeyQO38BhcTh6C+wevPuEsG1FzsuUZ+BrRnGOkzoGknvan6or8PanOH
p5nx8vfXsIxbP3wWfgH0YS1chjneH+bAylR6Laoh29lLEFgGBnbHlUZ7tAulY98mMdH1749cvt6H
RzIfhQnJekI3/iG2/DR6tkool5Kh1A67RT/Mmwm2esx/M/LqYWxlz6JVGzblIHOoLX2x//vT/3Cb
2RPwAUAgnVdZv/7uBS/Vwlqyg2xOMZYx0Flj/NZ+csL/8FqZMiPoiVbeH9ZUZFMTlpOD5KuR2Gs1
A1GU6fjGIv6qDfLXqcNN6O/fy/jTF0Pcj4ML65jpvvnrF2tKFKhHhFV3cZK2R7C/wTYBKHEgJDDK
GfwHQfpcQYhltsdqvRjzadePRo2uSaPWeZ98n/+XwsPL+HfZI4KUWUCUvx0uxN5lEug1dyxL36ra
mX78U/xmKTUeaoCfOPOexYV/PVlIYnmoV8NWQ+TV+zAIVqanuVGZtTs/8a4kNNxNqTllWEV2gigo
Cdjo3S9gUB5rvTgg7vAoEwQ1+2Q44Xn6vfMHlOWcZP4EofdR3ZzX4KBE4QBY4uQZuMf++stYaIRM
MWaLuyLomdPkFM9uQ6hROqwIZZoHVTWXgiHZM54v9bat+Ik09GmQsaheDDkymKKOA3RqmhCUSzAV
rnU1GEDBuzT95rZ7p4MnMtuUIJ2HM4F1C/foXcVYvRWxSmEXx6HwmNR4sFjXCAFtQB3TbaP8gnhI
nq7tokthdCy9ta4jzBOVgOEi5F36ZZS1rO3OiS2ddXn4+6n9yIvm3SybZPx3UcmB9PdxnxsY/Yhq
ul7vYuTZAW03MUIqMbD8oWAu5jXolggrYXRQ2Kuu7/Xz12S0urbzpqIg9BjVRmS6GeXGi1pX2G6D
BQn7pW6eUe3YtkWMGQ0WtCskwcwVJh+fxbMzwvLXY+eBlkJYGLktltL6h2zGLIM4Lyk2KUrbVRr4
2oaZ2gD2Qb4oE4SjcItLRG9laKQeirx5spUD3MC/v8rfd64QNAOOF9ISAELtD6cM2oRV99hd7OpJ
XpgDL2ZBvSRl737yIPP3SLN4p/gBfA2Ap97HSMMWJGrMPKt3ESooaUrdY0zZIovWle/5DL7H85hK
Jct0uYG/vCqBra9MFSyuVBiBD7X4iuD31wR9n0uvoN/LaAHPIJxq6RlLmnfm25cQrhic5ozhNNxV
P9nl/elHY4HHAtTBdAY424c9ZEnnahqzqHeiLYwNYloJekJjvS5aqk5ob01oDer70i+dwTOqEe9T
4X8SsT5gCJfTDyyCfSJmGvbvaIbcRNqrNox6p9vVDwt10zWvgQlyDhhqmD57mvkB1nd+HDSbgL2v
BVPC/1B4WJWBa4Fr1uwvET3O6mraLGvJuTXjdWDEDgNcCmrYT6QINLGui7l6qcYqO7kFxb2tx19r
35iQnkMTuKfxRhANJUQbtSLocG1/Sq3hEzOb3/Oot0jJsyhGq2WBkfwaOqUzegVaavXO0yZAwm2N
iDImz7Ao6Z8YZYMg0/NPlpZ/KPh5GicChg4AZRg/vz40p3QYqsZE/yplsNkgA0kjPsL9rOwR1mTH
PDXGANvI1KFlPHUMLAaVy8yQebsWFmalb5KSEULEomjTZYjAcgCMC0Yrxrahmq0tWkwBqnFjOd2L
OVNvnWcipUHjZLJ+3nbeEs0Sh3ntsn6xTZWgzgmQraiQ/bFnQOYxLk1rYN+POaArXMJZ6tWG669m
lg5b4S3FfDQEO2fZUAL0vD0rQ5x3G1UOnZOd27elE3aTjseNOhuK6M3SUA6s63bYAp8v/1/CBoID
AHjYCSPi8aHUrH3k76VN2IinTtzALmEoQPuyNR3EehksV+RAmlzwjV8ZmzPNdvihy6HxN4My87B0
5XDhTcyIzrG+MAdWo1MCOdZu0WfsOvP1vNq0ayMA81NgTs66+0qk/Ah/j7S/F7BgY6kuQDPBMdA/
qtfL2GYFi87xDi/laaVGSEaFt1wJW/THWAbFOsDF79XGfnQDFjT7JGcuFlkfCmgUZTzHAvMC0Mb4
CKEI/DELhrGsdnrOFq0y5XhjZMz7/ZxJuNUE9hNOkAUODyI7KAip8BzJkKPGHBsnOvrGrGw2SveK
TTxzTMldbJQ8FkAuzsm6oS6yqXpBpDFZn/cPjDYMjTlfNKahiAQwyXrZBjgM2VOGkju9WGZ84zLO
nevkVjaD/aTnzqbWg0vZm8nKcWdnOy2YlyIO3vkPSw8sI3+AY853pQ/ABgM485N6+A+VBfqE8Hfw
NbDJyh9dPHt2dWU6iGrXsKQ4LwgKBHw3lsFGqE64hnOXo3SYoTunZ/pqRtptHSVPLA/qw3kNM+uA
amsZWGuy9W2+xLfGfcBzPmEvXr+WbPQ38cQuwkPQc/f3I/Z73PNNl4qCe6/Tpn5sEVWnYZ7N4GWH
NuHOiNgvLqEimxhHnqdReVR8EvV+K57xVSMOWDRlNpUMienXqAfRNZpkRifIaLteTXW38EVIx+dd
THv+eRVLoZ74ApID0Iha1oB9B8/agggTykZmoQOYZQVU47Pg8TFRnj8cel2os5ABPWf58596Rnfy
01TDpnuXiAYAt+QzIAfNFoB1Wb68lb+//j88brniIJUsg2bit7QDVw9ScpXtBmc5tWBYJ42Cym45
O/SOn1WQZ5mmnytIjxhHRAHRCZAN54Plxv/09YTs2TbKROyEEM5lkMBDEbb0NqMdbFk14Zs9ZFQk
yYKLRoPD2SeoY+4NQyuv7Mr2nge7CG5SnOhcS13jjDyGjdu5K3vom3Dgjm6YrrTH3K9LrO4md1V3
ZXJZWjifRn3BdnPGjBY1TobxvXSX3fUterjpIVUI21Rp22y0ysQhx/drlKwJc2utwvTMjh3MFizR
H8Zo2DKRbEIZNzbmGrF1AZZDY6OSXbf4bqCn51k7iPa8QwDlMKO1dBPhu31d0idvZ6QGNnnp+xsl
+ANhal+NBW1nDI26nSjUtkWOKI4n6NSiRR4go6JjIigZqyfsqTdlVlgXAFQdcGBZkG7coim3ZW0n
FyqV/QDSosyYkkUW6pCNj1gHn0GrI0yztfu6s69jkZgbnKfbow8HifHPbLxBwrN2yG47n1w062Oh
DpuSIgwdDfpCYHj+h3lisPAltJwsD4LC35/7HisHNVK2OpttaqnULPTrumlKDHoGG9/2CWmHevkB
Mb/dwINw2V8o6npPeukmycW33EwtDLIavHWDwWWk1NvhpEH+xryNRXgpyy1LBHu9TCW2vjVrD1M1
2JfB8q9Pq+66E+aD44E2GUYXJImjrFDJAvZw2vqfDJw+Ji9gf1wobjB1DIFG/3DUiZyGYzWZvxVy
3kkIAoyIPrm9H4Pn+REeCEMn0OEff2Sv0IU5DAJiH8BAWiNDzPi1l1gDZvUMGKTDXwMV/c+6oo9F
AQ8ldsIrYsK+hI0PESrWfDd1hfS2TeU1Icsvua5nvWHtBn/At1jpaehnHyqpR2u7y9pPxlrGx9oe
BbilQMbPkskqImkfKuUJbco+LSpvq9xaYy+ftvza1rxBiZcHRk5wqIPO3xHtHhg7ZLvcdvvHv0fN
MwLulzC2fAZG5GgL4esdLADxn8MY10Z6ptTcbepm+NhNTbsvbEvSiOvtvJJ9EmDso7dfRn2OrniR
9lU1gjotO9O/x5163ojeg2472OlWIWDworcmr7Jpqe5EvS2gut8NKJMiZ+LxdTrhXTaN7V569dA8
mTGoBNwajWQ3BN2N5cU1xHkt/6T4cky+wy/fkQIW4Sx4ZTD4sSn90OxPeNTYDSl0q7hVl4OFAY9e
x8Y66Kv+4vwlApjfN/oQe5et4A9YPEbrAGuFTW6AHZkpwTYWs4i1JaJ4H8TC33hVijM9eC4kLsz3
GizGXuvhGisfMZkktm4zs7DCWib9xTwLdCYaV4IAmBF3G72erTbCEQ7GN4uJW5i73QzCp1p27KW2
LWpsLuWiGoOoyzaTTXs18je3tdsDsRDx3aQ5GtyRIb+Z5vpplqlFEFIXzgA/araxgYob0Z/MxOte
tOozIU7rt0zL62QID6bSYxQML+/XI1MHQZTM9E1bZNiZnShNrr20v0zi4R5n0Qh5BBtXyA6l98Sd
ILMw8VqnTu3vMzQTVuhKQ+Jiv4wqCNcsLTGuRkMGqXNIMKyXg/nIv8W97PGYYCNsl3sGSQqKjXB3
md5/m9M6ONLl6Wu9A7LndK29bcymBNRnyrXmVk8I6KptP2oPBQPpTTYj7vz3S/PR0A41U4OemxuL
NRkX+OwL+VPuT5NuchmnOFuUgtW1D0fhzRwHlmB8cGhxChE4VfndrhtGbWtpBQIycyOORtr5CE6h
eJuKCMftvCoek3iBdyRcuwypFJRgnVTbmkPNwXQRNpaA4za65Ixg0pqujcRPkUD2jXDC53achAGW
wL4feuvF1gy0gQPvPhLJd3odhbiTVMei07x9DGjjhICef9NRT4YixykBlw/a8VLUm2IYu53LbGBn
s/LbspjkoGMZE45Bbn0yw/nT2WFzYTP0Ju78VhROYyLYUXJ24JW/wzbwb5a7IuFUrbFO6j8Z43q/
ZS4UNh0LhBqTXKilH8HMhWJWpauOCAucaoPjZPACsEwca1Rj1/pcjFtLj9Ir4XbiaPqSgCcpv4yB
lz72DRW8P0RrtonPfRBdDrF7wlK93RqgfEYXO7q02jQT97pPgbzyz2J1784bLeBcypT0YQ7cZsr2
96pt5luzAsxnNAgVGlXV7qGKGWwOx/IybXU3zGIr3gog8Y9Dn8s7Fv7IMJuiv62TBL1CE5xGZhuM
uNy5CXEA6E+AuYIDG9lbzMTbfZBNRI45UKj4lN6lhF1xGnTCcltn2bZdPg4b03wpxPtHZ+JstT1p
RhM4u60d00u3VdMthgNaemXqFRL5CIe9WZGHYQAC8KhXikrbBrJg7IwF2RbdboKRZ7ihYBZEBcqF
mD+5aH84LRwSZjELHn3Jkr9GmtZ186yIQcX6EBWJIbw/iQbaeq7sauM5XIi/X+zfn8dWEUQ6JRaN
uvOxS3ezEmTwXDnbvCgoQGpuA7C54ADmyN+L2Wk+uQ3G74UlbdtZs4KGl2VesHyinyKJD7ytMePY
3oJjssJkAhlqwNO5TAoWUeWsiyMCzkkYty6GwUruZUu4cBHBCquCy+8NJauAwYvWI50zylwkKr3n
p8abUAJKMLpd3fBVEreSd0VLuHbKJbk7EXrZ+Kze4K/yBZ14A3lNCL2JyaFzjfwL+EUMblxQoWmV
aJuY2eQDahPtYXb9U96LbMuW4R3zBRTrBuc98/IvpuCza3o3bic/mo/MtczQUCODlUo+oD9HpNKI
/OfUWmeUWhJO6AuIMgvXKQD3BiBfMCLcpiAgSwqO4LESuX4cOrvbVe6STTGOWsc1dUmWkGdUoRDz
XO7qZBI/ZKEwU5mJb1nPOZ8bjngmZbsHWUzuyQi7bVY3T0mSIUpWkjNzyQeqPciWTFzmTaAJtgAT
4i7//GnOeUcSQtsi8kM3X4EM2ShzaNYj0ILVtGTdVJjtwU4yj8tCuEiMgXqgG2de4tgeRKf7J6Nh
ga9y/mfQxf6+9bihpeAfQfwWa+woQFSmAvwN5rvbybiVV4kBiqjsooq8wNfUHCO96rV53tS90YZq
qhbL4wgeLz42IWY//i6f3Ud38r4V4HXXWW6bB25nfwmnxgqJYJxiZ/J3fZNTsiSU0efrjtb9DBsC
DTFNIwtg0pCuRcH7F4HV0bTzc5xv1/833ufyoG8Vq5AkBtb7f86K12hULiTKX/5HWCKGNd2qH3K6
+9Fi/fBv8uLyT/7f/uG/JA4+oXQa6AnQFnJr/2dO5ymZK/nlF3HP//5r/0XgxH+VJIXUgfXf4p4L
e3PpPG0iA+5+XLL/Ym+a9n8gu8kqBGEEHQ73IgDzL/amafwHFb1LI0UY4++ipfLvF3DzT1X8V/bm
Us39XDzDBIVZhCoEigk0Zucm5qcIhQPCDPK26Pdlj50Kc8iaCUtT7GSKDxXh6JBE/SuKHiMoffXD
jNzoFDsgen96Zf/6WD+rv6O1+4fPYcJjcJZlMbvHD0W8FcRaZVQRMoBZm2PoZGxtK4M6unYVqelo
N/vGvYmAMatkYRI4OF6bcXRKxYitnLQeVAPdwNzPyOolV5ZeHq2U1VHidw6jQebVrnesjTpeDdTY
ttPdTmpiiofQlwOIcqOrxwGhnQnK4RiV+J60N2OGy3cG3AdrCCw5sCYrnu0ivtbSuoDlmj2oxML8
0oq/2F5WbYABLj71/ViDlZd1OPKgjfIZFKyq5KVt6wdrotiPJjg+1g1qQgvtKxMrXmxrWd2LcIcM
WZpZ32KmvKpGKuSyMLYO1gmTeaq0aus2FmyXZy2b79DVvodBeQGjZs/W5KIUJVwC7Ci85n4cnVc4
fN5qGrMr+lO1suPeWY925e8tJ3lmDn8l/fnCHZ0flUj2vv6G3N+jF/P4zjtJR965kbFD8yk0Rm0z
mGazwucjXgM8W08qCxeSBuZs35PGcvdqxlgKrbZ3M5ijQ+uY4lDMVrFvcH7ZjN587IzhpPmMo0Gj
5avBMNfW5N4XeXyQ+l1bemvmMVgv28N9M8Y35O0ta9qUtxVkwDmnEHBj5w4XTWo9FgCEVrpmE9Xu
m3J87wv/MLb66wxaaGK0vRJD/YI8zRZ336PZWA7TBvxFowokXfDI8VplDhwuy2bixaQdvFY46f1V
rEUvUT0fe9e6o4ulY/XUo2GRNYzvVVFctXp/VP1IIsY2sBpn3Eo7h47MLNdZlG+CsXtLrW5t2jR5
+oj9J0ezEe4jfbW+gtz6vVpMACdRbKoWNz4TsFmRdt/0DpG4SEdBCz3CzsVc2BjWTo+ld2E82MWz
J+V8nTL9fe7n4thm9m009v3OnwYkPtEMPdimu2GVcYQ8tHGbco9Q9Iuroh+ZVp2m+bp2Hlu7YA+F
exzUMf3WXAQEtGE+1HH6bBvlsFc99u3gQvFAuOzHZgP+a9s71rU93Uq/PrGNw7FGIEdrT9WlHVDT
KiPe4AZ10+F5FsZpt6d9BAXQ4VuUlE6298VNHxtYsxVrGRzaEuVCqLkrwsFNsvDg4mh8rqGW4mf1
NZqTMB1KLH80Q54aPOS4OdlidGiFExqnrQ/LLfe3TXZDv7YeauMWmdeNUdlb/NKedL/Y9+idyQ5z
KpZjOBoxVdHyHUfD2+hA/g5WpWyKW11hHeReVcq4EKbHfHN+THrT2TTKe03gxa6zxIHy4kBms5hy
jNdg2HcAOdfl7HtH1GxD+u1vbm/fGFG6XCfzOtBxrWw65zoJ4gO7n7cyaw6Jcr5XGYosNANMWCEI
mFWxxQZn75T6sLjVU4R7LDyAoN8tOXA9R/p1DBYwLI0biWy53uq8eYAgsa4d/Do5FUk5bFyIYGw9
+q09gSvXXOcGF8NbRE5QHivrh8Qvd72I8HFxBAJebf0VJ6sNRkZPBdrHLv/HxkwzBEXAp2LyR9Ul
H71ZXgN9fVVTUe+FoQR1kv80D9O9NwwxriLwH7oj5lervpAPuhZcz1bz2uXOm9mZW1VFl/qETdaU
PWcTriZdzfcAtzNpVSj7KZy9xLybbO0u8Hk9BcWm7yH2rgD9KBglqwZEPM2FTPeePxwG3YdrbO1m
Wb9bGR4pKv3ix+x0hik6lLUwT5gpoaILxWptNP4PJhdPo0MRxew1hGO8xRYXPKsN465Y9Dlao9z7
c/DFVIBxmzbg/HU6sn5CX5up9mhW1uVCtgu5YVforT83Qcl6kxGhXahyrRftlzTzuBiFsRLd8Epv
eAOP4kEb/Eu9765mE0x/m3qQx6GcmFV8mGP7B+Wos9Il9BwjaS9xDAciEZ2yftjKDMExrOFmakq6
Kw1bq7WQrPblGIU4Dx65eofOUGWobO1G1j3wXRGjE5NqJ3txpkni5Lus6l0753cw7SBwafEtejo7
RMYkGBreZBZK1zupwDpUs30xtAPF74WLP2MGMBxbgW6lA3F2nVdlZY9R0aLfK3fZpFZ0GOumIgjp
VbTtRLSrpbupqzc8U6+KwHvupXEY82DTYc06tN1+6OttZJUbg/nCmonjQU/GaJWl2GV59000bGCy
7Kfkqqm656lgSTLke9hAcB+NF0q5a3PomYQEWBwEu6SLoM600X7WxNKQywc36r7ITEUrYaOR48pn
H2sBJwdRDjm0DMz9kCsEXy/HGS81G8ln8L+32mydppHIhTPeCiVHyJeOd+OM4kc9HePeCytPvxbj
OzLQV4z/tylqplK33qnAabfRDcbd80j9BjQ8eU/M8ruI7WvL7a4sV+6TLH5AMynUFSJIjgxe/BSS
i3rvqMSbidBZlOvWkVdOM3IJqxeuyFMzORde/tb7IP/78i1mf9Jm6aXS1bVHJ2ABJtuZkTgxG3yG
incr2+rCQ3AA105WaDjIOcVbES9WEJr9NfDwLVLmvhqnkxcnBcpK1joNjH1htcxU1Bc1qxcoUmHu
zCiNpt+Yh30trOkoNMgREdrTJkOnCollqIktqMoiR3E49VdDco/mt0VQEOyNCMuKYW9XMAlXYTcW
u8E6zal/GMz8Wg+SH73fhxb6BHBqyZ8VE6URdD4adSLTTzCHkPMNsC6ys1tZutCG3DscgNcC3FhS
dK/iVOIj0T6mQCesRtvWbXpVM1OloUKcqWfHm3gOwhxmWAq+VnrD5LlU3i4fh31VtN8BLh1FkuGe
yQuU5qVdmAZUyPwQIB8et9iwj6yYPPdJjvIrYsBR2Nl2ASFQAPnGTg+Lj3k9psXjiPjC7TAHxtoV
LbB3XaewqSqALL21hu54kaFUlHVIRpW2c1ML95Vm8JsZqWdUIHaARYuVZ8snmaHkPGAg7MkQBtPa
Re87Hilm5oceizlF4IU0vLac4q6pge5F7W4ynNDrtbUZn/rBgT4txktGrUhUVOtgeM8FNlLJbdfA
EGFzGHUJFqwXWjJt3Nxbj3fjLLZVCxa6vG4iyJMaGAOUZgX5I6EvV3eKVLSZGKqmw27Gy8Izn+NB
v0uUTjzwd0n8kCWLOpKzV4l9M7PuqaW6xPb5tjducM8Mc4hbc/Km4aE8NnhPVcpZTenXYej2iA1d
JrXEzawZL8agBTzfuO9B+SS4m1MVXzDcg2ZU7aOARqJugLkiGj/Fq9x/wNls69vdlwTGBvgNtXEi
PcFYGsqe5j1nnVUh0PHUzDFMWe2gzCNgPQhahCybknSM3IumcO+N4qF3whi76GGt2qyB/wo8iWBd
PMa6p60RckouArbCCiV9Sst2Rni5zE6178KkcgSS2iArDlFkwfnTZdC9OENWPeG/2YMzcBSo8m56
L7vOvwlS2nqZWf33fqjw+csCfec4Kb3D7EaIail/bfrOGFaOo3/DRVvc+lbhHvUmduIVwb7YB2ad
PVVs20I0r4K7ubd4k1on3gqq4X3OfhThe/r+sIOHcgE60VRroWcCW1cYaWOeHAxviveetPUfPNL/
xpBu/qoV6GcWztRBmkmN+wpNSLTC4+7aF8AL9TItjrrmyXv6PepjCrNx1cuyvW2KzHpAhW9cawGb
+ikVwwGsVn2sejs+KG0ytx4065sSKYJNNBk+rjSamcHnhJGtqro5lRWWjOSaej06wXzQYF+dzNKL
LphAtxeB8lDyYdOETIHEINRDSf7UsVpfl+Z0qnwTPjfWpek9I3PvSZf69K3G++eYdm60jfE3vLYx
u35FZCO4Sq2yeaTR4f74bVx89VNXvWi55QwrSuP02u4758EJUnGH6sR02w5BfWUM0rnr7XS8llUg
jpP91CfOqvV7uQvmbryLKsN+1Gx76ldlMpmvGMkN27FB5N7GKu5W9p6CxTmj5UbCfBNO4u2LSvmM
88fxKz7K5Y3Kh+7GgUR9nSsjPRQJqgaMwJetBS7gAj+6rTHhhhBT169cq2bn2+PGakWmgVdcWuwC
gX9LsTTYZTYhXC7iiHFvPjA0s4TzbAEMXo+Ep7fUyU2ESpS1t1PPODIVmogpJfp7eXJTjW+jUIj0
C+wJu3y6NuGTxau6mPr7lpM5GcmmnYpdhVDtRjXzNwcdPDreVoH8ifqHSHMf/XK+dpvs1U3yve0U
BwHKx56Rare7ZK+547FJ0jCpB1TMPGet6X68sdGew2V5hdfPy6A1h35KUZYwbAQGSWZm+sUGZTIx
rGWvuu1A4cF7HEgMtjMCbkeh98qPbX1XRvJ5NKsHs7QPie5f5baCeDmvRWrxidWuz5hLyyfD6IKw
1toX1mpiNcUJFWXhPvR2/xhpxnU9MfvTiESJyBDf0w6I/7GhiftDbTQ2bkMmzt7lslmezevJx8He
tHN8GsowaMSpSYYW9ARFeZsk4LztbS+7bdlq5qYOW/WswGd3VXvEpWAFK2ob5+V7XbafLGXBUf8y
7GDJ7gCbAZbsgkJmFh18QMXDWqdictxh7+bPtPnJcR7VeD0OtQmlL58udLdsrsYqnm+JT+JuwJbh
wYDadi2jBi/Y1i37Fz/rMdU8X5VsuTWYFAZXznKTxHKnsuV2Ncs9M843brl71Rxn94OF5Pmq4mqq
5Y7i1F2fgPDNF/lyg6PzZcZYukUjJ9Mu4oi7Pi233l/uP4zsOCxwAjkVQRvs4NJZ2QpNK/+QRtm0
KSGP37BYw+lxiS3GEmVQixgOcUTk0btoXDf2YD14zkRcMlrq81iI7l5Pq/Zer9riCAZLXtSz7K5x
W7S2wRLpzIhhOahY3NaXOOgsEVHDLemHuURJOXXJQdTVKqgbEWbnYKqWuKolMXS9c7BF7gcrmMwX
b2VNnVHrU3Bnp1kQCsSzn3pL0DAMA+FbF4N7bKZB3NpBZXyLAm0MC4CbVp2S5M9JoFKZsRuWzNAu
OSJaskW15A00Fqd3fcklcskqzHOqJ2PJNIBcSDr8mtUhRrkhbJac5C/ZqV3yFCsYcRjHCt9YcphY
splBWkuixIxX/tzO3xkSHtFAwhe9MY32aZCF/uJPqgMThuTm8+R4DLUKZU6vA5Ij3BoLx4Q6ZgCV
cTZD5fYV1G8KOBMk58oayyuvzcsrkE0JKBZTXNU9Jw8HRgw6bShfmghA80sv+mIXDqIyrAZmmpuq
M7ato3sSVO35iWhtFmuv8FuPPI2UJoepFBhRVFV+U5Wp+8VvTPNYpASJnYvxQQMf2qZSYGlZDlAm
7Oyrpde3vYWfJNhE02m2IsJLXNItrBV6pQy8CgC0aecxVXPqMeyb5k7Qbe4HzX6VJaMcpfd0EjN1
5czxnXKETuNpDAMtekjT5iHvRBFqQyo3s1YWuIaVgDJp2H/QxDxraGOfLBUEYVvbj31C6YmEuoUb
eJ8RYYWPgk+c3/mDq11ioZqFJHrUhPQsefDwNlqxQEkvhOs+JEb64EOnPqZNkO1LjzJbFfpFbBno
DvX/yd6ZbMeNZFv2i6CF1gBMauA96U6nk3R2mmBREmWGvm8MX/82IiMyFVGVlRWTWm/wpkFRQdEB
s9ucs4+a1E5MA0VPh8MdP/rX2DKZlVjxT60NsibqWVEVpz1sV30ivsVcjTl/nAhOtU784c3rrfK2
YF29K8Tksl0v7X1N2O0G4WS+Ipd6H6gSw1AxEvwC6GXHMJWxitl8ZL35QF1or0xBfC/Vx3NVTi8o
x4qnkfylezvI1N7t+yHATZsi9/UrtclSVI4w3CogFZa1dxJR7QJ/nleBO7S7weZdKwPmmlFb0oFJ
7a/k1H4dSSq/0VYav5HN/NWziMnIvarZZz6b8jx0YN/NWc9jFberOs+ndWMRktRVJC3raEZmDxeG
eBWP7FkZ5pQWlUk7f/EwowEho2LSipZfBUTXllHHJ6zpWnEFi3UbDle+z7uRjpdx7SLsf24DURzL
zosITgpNIhB1fFdG/g8LEeeVLJKZp4ADxSDami7mJ9D4K8sRpCFW7C/RPu65Klk6lYLfXRaqH0hv
vVUGV2WV1m2+oSqAYqjjb1rbb2P2bnrJHUJ+nghAELrwL7NVEtqSFj9FOz9qqxSUwj2G7azDEm8E
vg34IZbntrGHjZNwOFomjcdQBFxW7PaeBljqz7jKWrpX6/tUms7Wq5NnHweehfpwa7COpjOumhXQ
XnWSvnPU/qiYJfN+QS8dIY1SDjCQPgM/JGyl98v6EHfAHdDyqQNB5PNbEixNpnT0bp7wvq6mFs00
0ePD/DWKU5KrQ3SFxK4ba9dj6OV3SfUBQNa5kYYwj2oMk5usc9v7qPS7y4Af+eJFxvQt4vw5Wnbt
H8ju7r4OS21VL1WWs9Rb42+V11KD2QbeKGMsDaCxS3XGies+A56bHpuleOv5jf+2Zfj/tqH6dUH1
v/af5fkj/2z/msz633eNhSjv36+xrk1c9c3HrxjS39dYfNvvayz7iwOzbtmh/2aV/WWTZX1hd4RI
lq2vsEiqY131O4eUTZbnLesqxGekgDhLSugfmyyb2LvQdLFaBMTVmagC/8YmC13On6oqP1hIqC6Y
T7Zj2DxDc/n6L6usqkgNg7y3Hva/qxk00ogzszvkAxnRwILe0MfJ1TCpjHxH+DZz2X1Otv2KhvYN
GL35GNXoZrx6/NFpDoEUWRKDENFvDMMysLvVxVName1xsZ4vByBJ0yxsWUQnD+j7ELNCkDpQS3KU
yuoM5QRlY6wVpbH3Rqp6vRO9fixp6fIKlr9G/ppJD6sroDTYG8YPVzpnB5vRyiuN+itSEQZO7JMO
nMSCEY4T8X+Vw9eY9RgihhPL7UGRDQ3nJBfywhYj3IBUM7ZmTeNtOUlxAmLlHDtY1beVUYmTKiIU
05Xv5ovaX79EIbOtOP0YMRCkDBbh8XcaZx7yni29DxBvJAlr1TMmTGy3f4RkRjpz6p4q1t8kOnn9
bo50CW08NAjyttD9rPxek1GUeFb/0+rDc6ul2FqN4z+4CE/XYaW2qm7TvQaFg2y7Lu78pIQyN7XR
N4cR6kFQdtyq1q42iKJIgRpD/yYFW3ELG1N864T+2kyhWjuUoIstv13bISg5onSrb70IjbtIDKRB
jbRgcTcmmznz3Ls5JcjZy8vPxOrGPU2wf9+YCTJuiaSrTyybw7cMGJX67jZVUGDGsG6YOkz2Y0D1
RWg4tgvE3vdMH9M3p9RvblAp+BcaDvdyW+eteXKX+7sqXYXEgDs95VKJiyA9+GX4NVzufTHwxzE4
aLUbLb/bDhQIpJ3zAAQp8JqqUcfYz64sJK7+UlcES4WRyym+thFEs9THetOipMPyQE1CZFxAmUid
Mqehsx2X2qWjiPEdbOo+s+i7PqlfeV7Dz2mpecyl+pntstnkS0U0VC3tYIQBedqKcoKWQfGULFXU
sNRTLG4WXIv7nhWTeUi69tFaqq90qcNE4rS7vC+7F1MSZ+yJ4HHQ4RU0yqVwaDfpeGhPlStW7cBY
aRUOgFunqV2WtY5dN/scN9tNEbEPolJrqosrpmpreYaxUU2a3Ycg5raly4KLtJdqJ3gG72XXDrcE
L8VI3dAnZ0pxnIXtfia7YzHmK+bLjXNE7ZI8tokb7KlqoWB77Ysl2+kpD3NGVKzbD1YnSXp3BSyd
xN6n8ZC/ZAmgbj4qQrU8PTDHTjrwL70RvTNzH7ZRatcnAJnydtYjWS/RwP56ZXmNvemj5rOsGnD7
lL1MI+m/RO5ODwwCw00F150lcO+su1bcAl917s0mwncWecgywjF+GK2MUr0K+nszmZFAGmL+3umQ
S3qmUB79ktVs0qWrarYeIrKyNj0dzVIFlTuAc4Bx2oiZtZBqk3ZjAFmiYtRvqyWPI8/ygomTKTbh
aPSvug3Fcy97/1AHOnrFZo0oxEQS5g1mso9dX93ggtXH2vfiZ3hezHHLWjgrBRfqMZst4wwyZ6aI
y5JXUdivpqJrLoVeyZbssqqdLlU32J9DZQ0LMWHcGHGLigeRIYaVqZxvA2Uw8GczRXc0fg5Om9/7
lTPeElc3HuidGD9EFeMGP0t31ixfAzerzvAkjzie7Y0vVp1kFwm6hLgj7ZTrwKiP0xBhvrZiJ9nk
BAWjnlH+0c3y5DLOUXWKrC65VyaD3tLsT72Ih33udvUryXr9ir0cq59aM3bTMIX6GP933mp+ncmc
PA8hP0Y26vkxUvPD5BX5xg5gS5Z6jG+qpH/gHmJSWUaAs0xPfqMLmg9WZlzlVJvb2SngxdlFd1+m
gYfcf443EET7TWHHJ7IUQMtIt3zwEhM9acx6vrHo+JBFLJ0Z0i7ofFTUBhDrG2TA/aYzam8TxQHw
/CZtIIl0S5YF0aBRDiBn8B1O4dj7BEZUbEJB4+SG4UPeiO+xHWDvTdicsLplq21WCLAG+linb+ft
0EccLxHuhbKIXjC7cisuPwOyV2crY9h7ZRfar8HA25x5UO3xdId3IH8AdtqDhwcndeT4zQDeSRQe
StyrXQU/vTa5y8ee0xewIEl9W4LX7wc02wQbpI6BX0WNj/aoEPAGqbHyjOTRB3jAqlkkLxVu9G1t
o8EIZ/WSF2LvGWO2EdwJBUE04TtbXjzNYfWjnHigRJtdhzr1sbxp4BSZeZ6HmblErdfcdskzIEh8
/IYRrpvlkw5SHe2cgXo+yDl6urD4wSb4G3Xx18G3I36ppARuM6QOWx/F1iKFiW9BZF7wNzV3gSlx
puEqjS1BZhojiHVZDPYGZQNKyrkoQA/5zqEd0uaK0rPbzC2+b9F1+cGZyg/T4BQCo7Ih93ArOu+b
Llhmud4PNo5gzzuLLZ/j/fifcvc37dd/Vm2xAl507f++3D1/yI+Fu/+Xevf37/u93vW+2KQhYXpA
BAarWdj/5O47v1XCCzwCqLxv/qrcEhS1EJ2Za2KppdVEs/xHvet9sbC/8BTbADj4K/2/U+8S/PLX
ehdoLal3wEXgLAvf/ku9Owctm2id5ECsSbMs/A/pE/MRx01+Vq6OTnHG4Bdw+TM5p2iToMPtawQq
H5Pr+XdJAId/YjGUePiKVTVye1NwuEXwLLGuwToPKRb7xYKp4XyNqTs8DI2Xr0bbaQAG9NlTq/CT
JWHTIPtwWXVSjLXiTrdzR7kaw7dI6O+H6KHHESigQG5NEj1WFCjPk4qCXbPIOP3cO7GtFB8+IcPM
gBnFlDZNdhDOd1k+5+tu7NjjoaNdDewLgZSNu7EdSHFOyFVmuMqOqc+dTU0Y5mqy/AX0ZWzKcHyo
lUs1Gf4YiQIdq/yU96jqW/sR6e2xbCq5xsG9ho7107Pi6dZQ0bIWToN5b6vmKeZ3e0/2ZQnp0qj2
kx8/T+zFhDGeeo9fZthVzinR/JNjJz27BewaI4LhxLLE8XrW3WaZ7+Op+04dMp+jlzaEmNHWMFTB
+9+6lsrOLIRehKc3Wd1vM5cImNyt11ZQ/OxcLCahQEuOtGoKBDyz5Fqz1VIVl2Hjo88AzbUymaRt
jDk5GLp/MGxvYA/aTs99PHs3jp8T2GVPmzgtt7pCeDP5tWStIdUTGmhS4AfCRbhmZOtmu2nSAZ6z
3L33fqOoejNOAxyna83qeh90iFRRoXo3SLz01cnLRyetXZRrDhP8JFf6ycyimdFD21V75OXyfhLk
a3vPIPyg7SSiuIyNYaxhhdxJ071XbNDTVLzKTJ8hVup110/knIzNSTbtjQFY06QEGCVgOpKptadj
Pqr23DTdz7R4MmF/cuuFzsHzq2ytaUq2nbV1p2FtooBd1aFjrKNphjhp12c9mCdiG4cVGPJVEASI
4PWiGUMD8WJnFd2Qwr0xieX/ndzUprFqssp8ht8YrwmU8SBvrex2h76OxXkwWvsalGXhWR9uZDC1
t8KfWRLeOem8cs2cjWN9cbqAMU6yKVP7sZmV9T5gLzOBxMRbF9j6UyiwQUYQT1e2ZsPioEi/n5Xj
Xaxx7nZxaKl9gePhe+XW/RHoaNytW+2JS1Y71a0TtfqYuE3w4TW1Qg9eyKMBhf2GwXt/A2o/e00c
IHBrrqX4pGxl3qhENgfNgu/a+hM57UXXoosy9Tvgbmgt9VhelHCGG98vsq9ckf7T7GJIyMw0paIs
xFGJMjyiHhY7S4zjrrOsZWk4T3fss/Lr3MXTFQhjf5uYVf6cN7rd1YPNgqapwuajo1ze1JYaABCG
3h20vuqUDsH4gNzFOXvW3N92UAnfrSTraVvKCZxpyAQ+E+lNo0Lvfm5K9Uk+D6qOluyBH2jE6V6Z
lId3cz/Gd7iFxpMHTfqYRYFFsTcM5iUIJvNxdIb6DLvSOuVpqZ4pq0JEZl5z4lHxT44xmqccHUO7
wsTFtDmv/D0x59k55B+IEAIFcpIps/gPpkDntynEvwS3zEBAFKAm4RYgUyvEYvXnKUVKE1U67Sxv
Aimzc+U25XCTtEN7JiuZtV0EN6iyxnGlbavfkPxIXDQWjq0HOniLNuMZk5ixyxxd8xYkywS1tUqw
cLG5Y7fQIoOK5XtHhvnEMye9iyjM5NiZ+ZksLxxbdThfaN8pV6Igu9MgTlc8Sc9eNJWrhly1A2iP
fM1cw1sp7V2bhiVc34/5vegl5tVR99G1GskeIotDMyxs/bkuNqrgL15R19GWCJ9YjWLGAbVu0Q5P
wAhA+JJe5ZbvwFLreFMPstx6s1U8w0gM3kGd3JJGBaXYhn3nGwAiu2KtUYVWhBGu684vNkArUcXn
BIU4RHDq3Or4qZzHaupOqmqeItjjmHPMjvGOdwvNZ1rPdJigx5GDOdAM1/6YaEKUEVLO7nCMmvLk
x7z+cawRDrUSSwCZ00nf6G3OpGBVj0J+V4M33hbD6O4MtPywg8hIK3XCqCO0sp2v0uSxmoXcVL3M
z/08+vswwozRz/Tvq5lQhNNYLRFhfdKeAIeEd71nqmdlSvskY1GfUzTej6UlzItKseiuMZl3Rz7r
6QT+LMbd04V3VJs875TS7Q9yogd35fiO+sRaVqynJpp2zfKm6OWdCZa3x17eo355o7I26G9VNDnn
1Cimh6qO65NrFtzPqh3OFSOIDfiOFltejl6VGA1gvcsbHC7vMnHUMJL9tLhiTJjuPIvbB13aSPHN
OYDbJDzqmU1Z5ZYsSupieQ7q4AmRX/YV+eZwMy/nyrycMO5y1njLqdMt58+8nETxciaFRmXepCxB
ToUUHFkTzqVXhMmE9qakmFXdKI9ZhzJx6ETwkWS2PlaRwSBIpP5F5YRWLEyP/kgBIr7TX6v9hKMF
FVgsLvxp476vpVhbKEa2cYxDGO2yXuR9UQMfu51DKpQ0tPhnB2GaWdBA/WTckdqJkAihocjXlnQa
jVtW5cO58JNgbXq1h/GERnbe2CFSCORLYZTcFtT61Sv+tAZ1r5dWHa5HJ+0OpWwGebIzU9IQtrHb
rPouGHpkVAWg56aO0Rqb0kBAGyil5SbUU812dfZm7mvPm8114y49Q1UkJWDCzrl3jMG+C+TkPUwG
CvksdNptg5nnsSUGPMWWHuXmHjp8lm0JfsewFjFdQyZZMV0bRD1ughDO2KrxZ2Vs+zyjAqLjZfvv
c2y+zRlkxfWsCouzRSdJyCNm1RbUp85+TLua30tRP/iRnuG9JGjiWl2tO7s4tLC4donfPXfDSSAU
pVc072AdVXcuiOGVjddtTY2qVvhCozVK+XxlRRrwfiinTV5W4wqfAzPJIfmKdWjc6WT8bhVOvQ4a
B3Kqti+RWY9ncPz2WrTNt9j/hpg2vNU2kznha3szdFwDTgknkqS1va9K9rfWY4IGZzNlAbpd2Awq
9wXBiY257WvXP3ZiEoesjKCyxM4tGQqPZdpz58WWczK4/7fmXH3P2tJYPiPUTboCdq7GC9f582xV
8U/PHRVhD6x6x6ycjwlTmNU0MhezAlNvEqvWP9lo8AyCIa0clNSdmWCKjUks/J8+72/0eYgr/n2f
d/cpFY2e/utiY2n0+MZ/LjZI1FyaMmtJgXcXvcY/Uk2DkOhS1heCIsr//St/LDbEF/JesLkCXSN+
j8zmXxu9BUIENQTaJFFa+FL/xmIDw8ZfGz2ojcECEBABdknfZYXy62KDSU0XeDy9hyZsXHmw6xRC
NcyIqWGvEasfU5pltzzPU3XjOaJ/ci0dyK0YrWTe4T92nuuELrHoBEj7SqTDxODJwPnqjd1U73ND
Oc9h6xM4Mo7mfW4YHmZ9r2DO4QMqQfDuukl4YKsfQKLRQV2dTKOcbtBCou73pJLbIOqoLz2ivCCV
ZN0an4BxDa2+Pga9378BDskIpgjCrWUSTl4XwaMJW4VVuHkmKozNH8Y9WEXt0Hyvs7oa18yY85rj
T8qTmUDHpjax5pOn2or4A5eaBF8YfuY5yw9+3yCZtWP7EHkB6HtvdhAga0ahLsKNwtCTRPOqxcOo
nPAalGGwH610RBmYhetE58PKQUu2dQDY0EqGxdpWggmXa1dE0QVjj35sqnx05OWjxZ0VYESINTkQ
GLvMk80JxGi5GIeHesiExmfJ6PpUxx0qzCgYBsB1Y4aOMSywt2xaK+IOlAbzQGSTLFp30tItA+0h
NKyH2fJCfd9IVtcPlmty6ECriJpDSm5pRPcXWPNNb3YiuY2GMSQ/NYmsYdv3wpsZbKnsjaCC2nsI
8gaNvkWmECk8CpMg7ZOd6pUzt0O/i0Q77P3OVD/MspL+Oq/ycF80vfXiRSNqa2lKuQBmfoZIbntj
rC92EdinstEVpZRpECwUDG++gB+ozOiCv1msuFk6CY8tpxVqxk1OnOkDlRcVqQmIuwQUgw7fM8d9
6xbtDycf/EPJEjrexwhOrU1WmvUmZXx95Q4maUCjINSbHAzaE2ByfSKPBYf0FOMxabvsqSOJYNM7
YcbCuFAkojrlrekzpIWPJbdmHNxSxoVbCv75GhWxtRvq0rsV7C1WKjH2cWFhVgj6dVq27ZN2yRtQ
lmjvDWlFuzEdZb7qQBys3KzRiGBL5ROdm/Pf9yXTyBNznWDD39VsNFP2U1O7SGWtxI2vPK39kUW9
BYHHZlaMWz9ObrRMx4qMnn7DAAIVABnbN3IY0/swwFjX8dlG2L4iNNmSaCnm++M0gb4yxnFD8U0w
TO6/THGcP9S63CM5zrZ1iPslT6DDerZBRF7gV095L1uuvT7h957ovUhk/e6H7FkQdfV3Vac/y77H
t1ZpO0f5EHUHeMrJTmB9Td8qYxRPY4l2gwo59b9WukN3YObCvRmzwWA+MPWsFhkfC8Put95Q9zuz
bmpkxv6Ii8HL1rmFWS+bEAa6WCAOWWjcmnknOGHy6U54Zv8WmS2T6FZmFxk69W1bJcUtAvoQ/XKN
zmgciIn7n2vx//1aXLAd//5a3PwzhpQwh/99Brp88z+uRp8dvWWjBGDpCxzpl6vRN79wJbI0syxA
WSDDGU/+cTWaX/gKL4JAD2AB/uWv+2MGan5xMHcSwonVgvhRwuj/xtUYMoH91b26QG0cfG7gixCO
BdhX/3wzVo0B2q6wXMwy8c/eF2e/8faVCK9JxHGFeHCbacaYA6tO1ICkvol3GpB9H35VY48qwJBH
djwvaS/2sB13FvFPyQmY4W03Ypn08bhFwx0M+Jcaf1LayV01e/tkbtjXrksVbdlTHa1mLfpgJ0a+
Fy5vljQHt85uUuE8iMY7e8LZj7X74EYWZLCVDegZjd5OVyF0wPopMKqnGSNQxHXrqnKd5uYq677N
2ZOWePTzee9NYue7451fBTd0miercs+FO71UDvSorrjwem0rTdJiTlg3aWVUxdcZXD+rRvfaChSS
Y3KfRy7QSbXIxbzmMEeMxBKZPXTSPziYMfCODV+7JryaQfOWuPzKmNSRACRuUOFtQVh/NzqGrIxR
XU6gX568/4P396/c1398iD7pdw4PE0/NMuf+RbehIbu0Cl8n4HE8iNwnOTp+Odb3ntb3fgO+jiDs
dTr7W4MQBcwT/wEL8VfeC1JtmnFfmIz4mfWDDP7zD8DsgrLAJoqVSI25quJT0De7yaQrHLTnoQmw
790oFfs+mi+Y+16GInZOHivrm1ww1/VXn9rpmt0sGkH2jRPvfCvKt1E5n6asOfT1MkoLpHFjss3N
ofEip8ryzb4Y6YEQN4DbH7PtCGyWqBvBlRN5GCmcYz0BRlYUVdu+tb/rMdKrcZofejPezy0zK969
V6e2j6g67oKkPxa1qm/LupLHv3+Q3sXfm7Itf3Z/lTv9SRP1b//Uf0dRFEdGwIrm/6qKImL9o+vi
Vn406k/H5L+++R/nZIBh3zSx43Eg0dmCD/pnC2F+wflPsJrPRN6kmeArf5yT7hfL5HAlLw4cpo9y
6p/npOV/oc5f+Nuuxbf6vvN3zkn/t4Tjf00dOZ+Dhe5PRxLYC5rnrwA2KDiEMiXDxElSKnuH7b9Z
43i32WWGBQw2p5rbZAuOiMp0kBHrFojROMLcyZ6MVSc6QHRsvE4FtTPOoLICiRzlNeWQnz2l8Whc
PStSN3IqB6IyCnVsct+Uu8bDHdqit936DgdyW7TqB+vgmdk1J5QCIgY8N5pE9gIqLMMnBXLwKK3C
HUAOChQuPPQPYipzmyXrk+wdvZ4h8OZ5H6zsIfe2fdw0RxVQtk9cD/YOAxRNfDTJrgPrro1xX9gj
2VKlZgXeZ7P5FHlx9uZMk3wq7bLYCNMmWCbQ8k5nANtQTQzzN1mGHl4L18fajGhutEewJVZ64yV2
CJQaAjaWAov4jgQw+2Vq2+y+mtNkWxA7sirs6ShxdxNUqGBuOw3FOOqltduDKJlLYX0LCHDLV0XZ
4wIh1Ss9YRdPv40inIkzJmjvhywN+WxTZS763xDDXewbtrWR9lBsOgrpbeik7sp04mkF7Nu+TfgA
ELyV7pruYDhOZfOiY7YMG9+eCNqa22JaZ0lhlut5qoutcufUWZKnsIyKMfmICzf/NO0IoU4z6MpY
1cWAfsMMNU7WkPMJ9qZBklM+g+AKh05Oa1HIbkUjU2bcaKNE/DqGOMOK6l0RtUwEJ5Qu5LBTXNaM
LImVaYxSvVExY4uGKKoOTsv/x9JOMWzSZgyIBJQo7AA7NLhdStIo8CkDIjswg+9/ILIZ1c6xywnz
mhHu/d5nMmxLodGv9yWePCdIq23GY/3cuY59SUn4OkWib6+qUOUHgBuVIM4t6vDIlecs6cVT9b3O
Pf3ehqq0Nrh+GBWHSVN9tfquqFaztYShJEnRPFlMAS4u8KxoM1djeEroHC65qut6FRQKokFI9tQD
Xdv00roGgUtM4YxPmFce8g+LvEDXT/NvAmbLPpi47VCHhOO1LQoHrXqXM44k+0vpA5tKZA2DoQpE
ewitgLEjV6NFxyQxji+hGKtHryvnG4fhGO9tWmOfVsawdivBSM1k+bzBhDbV68i002+Sl2v51oh7
zG2yrD6YMYF8W3cQBCF7jEkzBCaMLN1sMl9lrc23pUnSCAjLeRll8wEGfclP7ejAY95QE07Qms1o
rRj2SlAbqsXQLz6jzJ7fRzltLayMjKud7+UQkkdlpknzzfOnHHmP5U7v05AQ0dyrCcZnO14RR1Un
RS7rISWT5bYgdgo5mez4sh/T5uipfZ1bH0WdbDtwmxDAV8nU4ZU1Z0TjLI2rdaGrYpeyK2hXaGcO
oI4wiuh5Wy4JgcOI97VyFFLiGkjcbPvRS2gnCA879jNglkKxNizu1pXumqpe0/rVG2LgYIu7c2xa
63yc8nJrI5LJmQrU8WfSV+p59pU6mil58ltmshAIDNce3wxeFFjiLMd7JOJ1/547iWp4RToD7kQ8
82rPuVdfKh3nmnTfBIlJPlfTxkKHv+oAZ2JI6kV/rutUgx8qyvKmy9v2rV3UWqw+fqRET6Eiajin
hyxjMRemi8CmNwCvzmH9bHZ2AjQMePkqJOD01Y1kc3Iipd4tNkUMYLx83vY2qjgeWOada8osM17X
9ex/bxGeHyRlnlnHLnlwxVDecpUwU5ZJVv9wDcl81mgwlfHLG8e7uO8l83dPao+hRgLZ0gCLp9bE
jJUBuv9a+Ic+zFSAUV5aziY1w/ZTu21JouDkr8q54pZxSZJp8qa+jURcMHfqiBiLK7hVIOuytNvb
JBEp7L9MM9xYdJgf54INF/wUGRNYJbx6lfYODtQZTXC74dGsf04w+llfIL632rbF/jVPHE5hVjwV
Bq8boKoY3/JY1++x3wJBQ3MUEAHa2C9MHSJeujq1TyauuOewGeo3MJDBbZBkktmB34FWCirp3JMY
WtwLBv7PtWZJwrEheHx8HMIOdb2Fcr6NhzvtdyAd3MmVL4zCTIAjSPl/mjU5Dkd+QuUgCcXuh6VB
B+/dhGSAC8pu73hvvfwQuTbxoc3oiStnU3Ma8jA5j2QA75yA3c0UofQDIN5gy8iM2FCE9WbWzqjL
GF1C5L/qxBxXGdLO+zQhCZrJEBiEsYwv1N/FWs2WRSkrShYkqn7ppZk+V6FTbSywDpXpO9cOB9cl
BeS86dPEOdRebl5rszQ+iX3F8W9Lu99UTuncoGNDv6ZAWV1zU/oXv4yvZWkal6jUpPlghiBkUyXp
xUhsOGRuhVNl1IWHUzLE47eNzQJkOwzaJU3OT3BtRxn7W56EzKk+gFtE7IR7yZrOT1kpzuUIsAJV
cCcpHYZsnL9nCqeDgQ67WRd9qe5LkbWnvML5j48x/grq4D2v5Lyf+nDaRzFLIF/k8UfUa8RvwZg+
BlAQ9sjs5gMm02JXoxonrTmwjX+w7nWv4JjYbWs3d76X518zNSCRCCx7CrYMNFkGFo3JrEVWHC6t
E7g3vYq7az2P5aEwGnUX4sXZdovAMCf0JV6lJcoZs3UdMp6sfo0fZ7h6XC0P8EscCW4V8BDGeuRw
pTm2H7OVjHdBiwIclWKrboYyUmdpDvaT6fbVBaF1QjyoZNeIJFc8OZ4itiJzF59a69j7JJiCs55N
2REptpivQ1NldyKB6lbpMHrvdZo+dj5ihqbOHJ9bmVKC9rZCCWjVy1rD0o1RrQFAFdklJoOZKFQ0
BNzfOXuVpu1iGDBuqV/tGRgaXpvqklZAuaFz+3W8clrL+RADRTPwAqleBDHczW6k6TIAn6J7dmUy
b1r42dHeYdwGyyju9XgTAlkvkb8n4nWAdv2MUXJ4JE6l3ndpbt2PtrLrdee1He4Wg+MBLqLcizzr
3qVOy4cG+Uq4sWUPcromh1WolHd1xqR78rWD0Yqx5bA2WA8/UMCONWvdQb0pq0O8kI0DKmD4TM7V
TKb6FQdbdQnbBEmvaOZz0As5QBNy3Wnj1Q2faNPEc77Suf+jdF0GbeCb9dkYouI2rApz38whApVm
7AzEhb74Ps9BZ8GXdfVHh59Nr5mlG1tXV8O3xM6QNrHZWxLrVHhI2Cw/kNxtET27/CvZXZFI59bD
ezj4VyfB5TAC6Xvl5US0XcdFdQkWU4Cq82cvzR4BC8QswWR7CnPl8s4SvQRqcmDPnnuhXBuaBI/C
YSuxiiIRvlYWcsYVmGtJ1+oCoVvRsjsviYjqUwjZ8pGIXvGIL6+6o3nJTq3U2ZuBrDlZi7wNvsN3
UXv8DHAcJ6DTZxRMA7yUrJu+BrE29W05OYM+sHsd0ltV2GBNhZT60Dme9z3KJD6xwkQZVuAMgnRb
+djN7CYIz+TZIrPl5voks1N8Shk1/XZIUral/czcYiOIViLaYHBie2+XYYyQt7V3Rpklb7NhzI9m
mOMuHNiWc7ep4cVKQ/XI9jA7F0M/X+bY6T6d3y7fJkoW8u1cUkPI6FEr3X6byv9i7zx6ZEfS7vxX
BlqLg2CQDJILLZTelMnK8rUh6pqiC3rPX6+Hd+586mmMRhoBWnyAgF60QdfNymSGOe85z/GaWzcH
uFMP/Zki9lCtGA2rz6iIq3E72F6Ewy2AUrqWishEP0vr3kvdYQN4mFBmFE84Uxu95MZFbqcpNKWE
pgM4pCwaVYGNVnfSeROhWWG8q9oGHlJcgxkSovxuGxXwlaImxQZK8iHOhuqV0C7BtIo5tAbh9gLo
iMnsyLzjSOFp0+7MYSzosMzbkMi+PRtHSibEQbrxeE5razJXzrQE3rkkayJjbXcTR1ZW7lPltfTI
mPDQuBLEB1UP8lCOokqpdwE0YjoR59CpJ30SdXlZbqxySWMkGNuBrrokD3PYoacsSwKwoVjn9NJA
XFwatOhDh3OF0w3Ylb0jmuTgObmRrMgZyishP/swmCr/5hVz9rHcslv+BCvTm862jEfR1d0Fekn9
ShZjOlIXnXFUZcNfk42Z1yWeFf5LLzhiGLKgfXUqbwo/xGTP6LkI1oUuks+s0HV0kG0c3mMC51dI
UwIxfB+S5KHzs6+6Rb7k6wL/hIDNxajjxXOvu2Jdz45zDqPRpAkLaz2Jw8C/jjKhH9Obpb2GSqxS
AqA9BxJgIsDZYseTG7rR7cUor8pD01a0Fzp5bHA1jdDKtYwz51C3DR8Nx3iR+dMZzwnqIzvSZ8yU
T63zOGiCFTklEJW56eIUxJsU9BgNQHHOtIYvczMV9auapCh3tlRtCW5E50YSbqnhEPzIPFMR8Btp
xeUYmZVbt4tqb41xJD76KeeyMUyL27D+lZeCfU8w2xXPmbPcKZg7akzb7OJr4Zn1vd0xHc9UGxyw
nuaHPnWbY95NUQVINRtfkGql2GeJKo5G1Qcoil5crXFt69vctyt5tICaha9uN5Jd7t2B0de/L1U9
FRl//d/pVP+gZv1nSvj91qP+5Sz8FAFPiv5sev6f/+dvJcv9qw/2miMU6hOz8CXL93sYvrieBdNe
y/rNsfy7joVR2gPuD/KZww02KATUv+v90CpxOqP3w7BE8qfz5d/Q+8EL/0nwh6TvkSGkCoTXiHT+
J6lWZCIJA2MijGLac70m31zkK9MHowG/wekgwjiBemVPEnrT1FQpbcsmJRxD0ig0NxzhkMEDqsQf
B8EIdeU6rbNrtZHdemO3rJhRey04nfJVK5hCc2PiPDPp+BB1RX7mBWVwpziBDj7CCVwEbxhvVCGo
UCYDFN87XItIPCkrijdaJy4ymOs2FBRHhb5ivXQmLoHTxIrlznQJExfJ/X3hRrO1KtBwUKhChy2M
ZhXvIPzcgZXVB8m17xzwl/SdpBtzzN+IOVEr3AUmwkgDYz31mmDZRK3uyW0UNCIwvzogQ24G+8Ep
XZhjhHKK1YAHe8eIp0eXsyq32MXzAGi5GYP4Lm5N7gtpVNlUELnUJJwkJe4ErIGHU23hpYF7gEhi
CaqukjzfBrUdu2skCTWu4yg3PhCzfKxGeopvioCFtsq6+AaDOsVWdVG48Xmk5mbeQETG3LcwyBW6
Tw05oOgDD2pj0b1rmQ7AHbu2+Clnw/pCf8M2bLQlaZ45nm5H8n6MmR2/qVZd47OPOOWYHkxDDhdj
NvoHprLZdyujsGSdJlGot9hbjbemsicixvAyi71dNdStSyeAiWdD91jNTT+HaxpM9FNh6Z7ui1a0
kPxnVRZs1p75pUrhaxQLU79j7LOCXWdgIwU/NBOdwidkrXEgAnhM3BQrUBcY/tmM6Yw0S6QtWTfL
ld8oL1GPT95qC/gFiSfuKsbZxoq0UTZstON429TJyk/RtOMdNiirw5k7EX8sXWqMGedvYSWUXNsp
zmpiD/v7POXTvrWrYlc45rSDFze+ulMw3Yowx6vhpM3LWBbxq+0nJZzzGS+YB1D2LQva+dEsxvGC
6w4SasuxNDX94T4xvXSrUydGTarS287Eq97xs/YubONNYHJDwuBNHYxNexWCDI1rcy2p7YhJjC5F
y2h2wQl6S3GQGWXZuaVytvgoe6lNFIXCs54hb6JSKaAfC5Ov6s+95Guw8uHpcNHlHub3jnUE7FKu
ByD4m9iLmzMGCLGBhjU9l2GOu7TrxhNtsct9fO7XlVDsIWqpIDOhTHMmlyR2TIzFD5akIGvKwQLx
rFv7UiZuuYkKJ//yBrt96IJSAnJzzMc5HOYXZDvcYK43EQtNKhdTyFjmL5rz6atdJOVLWrTdF/tm
8uKazhGYBSnjlJ9NlUc8rBtoKxdG69V7JbPmIc9s8xNroFOsK+n6jxII1zqPdCzWSdY5XMBYU2Bb
JVbC2Gea4Rso+TnMSTutQN/YzzBXoSL1pEY5a2bMCxP3Hi+c+kgio9lGmROQAcDIcaVCGNWrjM0j
WQX9w20Cf1oVlZBwbAxnuk/cnJsqFJXyS8aV+bI8CE/W7M5fkTsM5cYbhH6eK+E+TNm4XN2NHst7
m1H54JgDvyfbOKXmnvluWWFk7Dt7zJ2Nr3VwZ1lud5pYI67BGIc/syjFQqz6cXpN/Vy3q4al+WCp
FIhJYgXWF9QKTuoEIbC+N6lUT3ht0E47AgtrYrrhtc7C/FPV1C7KnnMlEWty0iKmuWBd+jmgQ9Mb
bxwZtqgIczzvxrIFc4kddGXj2kQfFDWELp6Bup44j9iS4yNJ8Po0C6ciT6xrBarW7OaDRs+kxWSK
uguIZSrHcEgicisHPqXXyuYaSl3tY1JmBX2rXfMISSTeKmVVR3LD6mwpHVxDbdvvQZ2nJ+DiwYcx
QLAp8e4mYYfRAcRM8oAzNc3gxKXxCj1domxYuD/SsSacirFFHk0E8BuVeu2trtIIUUv50X3qjP4d
1jIhWR+MjjdCw08fVBMOBxm37SOHcv0U9SEwzgQDSN+H7tn0IvFg0a52ouRT3WiGI6c47TLud0CN
tmk6+vdZPk2HvsAhjTBLq8fQwR5aaTHEdM03rTJ2nNZiZ80gosK+OclnFTXFQ1gl4Vm2vTohFmSf
I63kn8gU4CfREaCUWFb9w2wpYeC2IZ96Oiy2s527W6+KPGIVdfk9DMLh0y+TGcSw5RCQSI20Qrbr
h/qgJlhvqxhgcbUy8y+YInVK1aXrkfVpua1VljFtpNM4R+hBxU0ypBYhjuUdnSzgW+7gEIedp+kY
RX36QHbdYNYgPBoXAbaw33qlX9356OdLQt1ZkJ5DP3walsYgT6FvAE5m6r6s3sm6ezPtIqZbnp3i
6czc/DaIKVjIu3h6qMmZsLPXTf2QF24GGLfwKS/OEhceS8NWxxUS96nqVXpHDCfEHp4Vp8hpSNXb
ViJ/uEgldAjLbhDrwLLiM/75wd9J2Ytn5er4hT2bIDKUhpZUlF/0H7ljOGdNQ9jex2X47EdMl023
Rr7y4LEBH5adcdZxMItj3Df5ExAoC7QK2fHzXBnCPkf5ZL0WpYDUiMxyjOlbKFdOkxenvhmqc1u4
8joKT55sH+J/0AjAQ16Iw7mYh8ucN7whPovuynDb9tXxq+Ir8vr5VQy12muGNcdm9rgdzF5+9YPK
vnFraEor6vfUayvriIzlQBgFSd8Gw8JkRd3GEIfudFClr4VvKvzwvGf7oMo7xBdKuG/8qfPe/Zmx
1hirN4G7Yj+pdNxIw+ZxDmk/8OvSfjISKz1GKD0EtXEv2FjzG/cZ9zcM1RKH7T5C+HjPQzHQQcSy
D76gLoF6mQCf2hkqM3Cw8SBHHZ1UXHRHKDzeVraV2gcBnQCdFVEJnGAMo1Kt/5jkBJE3Tm21Rh1L
372pzn9dTL1DHQjvzkIflIRcRP8zcBpwS6CiAbCorShjkuJW85nHpXcYBh7/rk2dM5WvT+Tz6v3g
9wyX+vK1xmy27+0aF53be6xYSe+I/Wg0BWuTDvVjzGPyWo2CxELQzwfGfT1tp5YZX+Xs9+OJIQDw
0KIr6ZVGy7Hf/KadvsH0petxYlVv8SiT4Wb7CZqOyU1JZB4Ccb0WoXaZByCPgnDqnIZlu9TvcaUG
3kQf4WaSbJ/UrqLdzlGXXpJfgq6/aLsFnV0XhdyLw929hIsCHP8Sg4tFF+5s+hTMX2JxuejG5aIg
43ezDsmiKie443ehiLg4x731NNjHYHGkzXYA0K5xbptMENARg70dshoXpS+Y8uVRdsxMgYCLynFp
vLbcGMq8cyEF3OFrDSDBi+EhWETwdJHD01/KeGuyx66GX4q5Ww2gfRcZvVsEdXMciX5V2ZBujWaR
3TPGkLf1zGERRqyjXpxfEv38S66XU26QTeKAiGBeK4orF22/Yq1jB5uca+kOMtlYHadEemBy3a8C
w/NJOS+TAkCC/h1VWdEl/DVIYHQCU6+fRtLxy6ShUSZ0PiykN/A+GUTYtES/NKpwHljsiAhklYje
+QKLnTUNOUfoX+OMZbDhLiOOMnUYPPE65cafS+8kGQl8+arPWvCuoYu/kvPmMR8yRif61xjFJqUC
GGmZrli/Bi2ZLq2cVXMyjU3XQOlchUwNuL4LdMN1G4YYlLoGWDUsA0eih9jGJzDj5jEnGg7mgDP7
pkRguJ9d3b2DtphKoj5Tftt57rqCDUOSDawn6o/di3uvUfq9SUduaBHiS3bf5JGw0L0qekqdiJa6
FQyvgPlYP2JVFnBhrcNYmlioCh7lQ9BL/zUATgSi2g3wNaUoeRZzZ4y6JIBsgCzEh6j0VrP52jSG
He5bJbyzPw3DuE5kGD8XhpdNDxnW1m5n0yT81WDhLPZlRYptF4gWo75wPbLcmnlldN9aNlcOrSE6
EtgwZzY9sHLsVdOV7wyASuBg47qNZs4arP7nNuoPdZfl5xEP2yvLknNVBdtBnAT+Oe+n9nEkg5dy
mppfhzl0DcZ28UhyCGPwuo4EdTssSXAk/79E8n9ii3RtbqcUPPr4/Pkbyfn0Dz61pTvkdyfIQnX6
b//l5vPHZ/oPnp9/+gN+aya4GnE7WnxHkUBQR7Cw/U0zwT/pWLSJkdK2+RtJSOC3aGK5f6UaClOK
RdsAzv6FpvRbNLEW0JKLBiNwSiJ7Y1j7N0QTbykL+YNLEmcIBk38db98b38w1tm6BUefttFBD262
w37s4xBE2PfXJDarxfiez2fXyL19R9UHY1PHPeFrZ+fuVcu0sZzZOHJvcrKNi5PtxTGC7q7xvemF
QZdvo016eQnfPEt5qofKvxLCbh7cVNgjlXGZJ7B+zKjjqzIMOW+WvRlQmCFgLTRLLdK33uuNkmlW
Yd820rFO+DeGzz6Y8m9llNKgV9tJuS+yvM5WswPGbq37BmjbMCn1gTmbS6dV+OO0n7i0EzPSuq+O
BHYCY0Fz24C9SzOpTomn4gcs/E64xrlZYTLvskfWpBEHQNdTrTTV6l1OaXYZR3My1mMvU2Y1CXGo
HVt/BFHOicR7lUwpl1ULSXjtp617HfMYrqKTWP33xDHGk59k9snswvDKwS2H8hjLR+kk3SuRM+dC
yiK7uhkuQqO1/QNHm3nfixElxVBucNOjdUFv5lpihZzX8NQY3q4n2gAkR3bRd9ql+RwN3cCP1FL1
1Mulw3wuDWV9DaQsyUWH8894yMgzBGFZvc8yte/9bsICGzUJfVCZnYTPrq1Jf3Rd1l4iuHh3pLzA
NaErwHfswqnfpzomrZaE/fCMOGe8EPijtgMajXj2OhP2jq+g/m9jQxOzVZH8lphDxXjLI7suWypI
RhFijsmVwToN+drdZiXLHQe29ibJIziYlVXnB5cLVXO0swqmJZ6z9iOzUwPUOxvMzzALxienL8jA
NnZLqt5rDW/twl2+hbYDMAmpTetN69sQfKqk8e8Zqehqy6AQmxOHFrLpk6GL+HaY3TFeEUco7G3S
YwDYoRG4P+mGCpDRdUUlFjb0ct4qys1M8MhZUqAv4QGabR29cYvmRpvFI+YEZ3R67hLZ1PBm6Gw4
OLnbEfQL6rFbx6Doef966ARriz+I3D2jlatD2rXm3VfhW8bw9itOSnc61VrS0RGo9uAlVWd+L3XP
0YbDvdnvrSyYeaRGXD4wmZlaXIh0mDedD7qLsbj2jlxkmu+dikYCfmWXb0Sc8c+NbIwb04iBkvYd
5ma7mOfkwgakSO+MgXNMhil7rtrQ/jHhr3hH8Q+8Vc2AtdzkMf4cAFjOLhFGamPVyYdjGZGhIy6h
XAbxBqruRuaVJgJZMIhc937Y7SafAcsqmifvp9/XSm7SxseO4moHVMPYug+iC5pjr/qGgUnWjY8U
7Dbf/NppXpMkEndAn+edw5yq2GTRqDxy2H7/sBwoXofacVa1MxTneTYrugTBw2xHL1moXn3QbzPp
t5AniwhXUJlr3gvIBsC1Eo7SxFnTc26mTrRViaJlJyF4TPYpxAtkBtaMZpiTqOXWWzC/4ngHV8JV
W8TB/rs/a8xWZgJDfN1OM7dyDBBXbAoR4ICgKAMg+9O4X6oe9mapxRHIG6Kt5GN8r/10/tEaTai4
SQh0uKw1bjt6c2591DjS/pRCX4esjB/73mCyontlHsWg5oMN3+sae0N/34QSY9PSKghSqsvflvDJ
tp+xvjVBEDzBSchjDFbhvKMXRiN/+iXs91ZwJQSFkXzk8VDcJ7p2AIVx8Ur8cTwCqZp/dECTvPVE
xZ+5T9OCUS80Mj77Li0j8EBDWL6Du0zfXTOUUJks2m/WzujWK9bw9plPZ+xXYgrNe9xdMFK5/E0n
wxmHZjVgS0DC9qhKDGID66VoLPIugU6Kb5CE1FNrY2pihtlBnsXTnXyYhV2+Qdkb/FVV1Yt/sLMR
4W01ywjMWsKMvnXrOYbhJcqXJjGT9Co9XEB8JBaLDsb0amMZuZDnKJnEsCGOYs7gydsFM1JOEPOk
Hiz7WIupwatTlfUtelGAUpH7U7qhXsm/qytXfxujMPqKjLrYlI2In0LEWrQyjYi8AkQFGaUKEnw1
YeFuwaLDwwhzNz6gf9IDZBSQ8O2+gg9hTYE+dUOP2cfpddasddEWd/DF4O+CH0Op84LxMpQV1b8G
bLh9n0XiaJLRJ8HfaXtNQYoz7irLSm6s2jQwNhatRcLAivY9UPNuBIkRYc4uVzVq9c2UlCXh3SwH
yVvZgjydyhJI0GmOGcU6D2M8AOzTHf9XwSt8KAu3ebW0N5ywogmLUUjrLBIcOvOqGES8CSESnPja
OMVrRrYK91vbHFzl7duG5rnVhPKtPQyZrVoSBmnlg2jNfX2KrAX7byZ1RUt5EzgCX9ecsw45xr42
0SbHB2mSP/YEU0jNbsBGjS1G5xqP71yMwDvoSCAS1l7zoOu/bDafPewk62T5AGHqgV4oTGSHGRmB
kW3TPFujYx281HH56mqO0q1n0rwS+8DPaaTyL51pWhTuDB35f9crT2bQZlsUpg4/vQlVzUKwB14T
J+PNbFUtyfNCbPw+SG+1w0K+1BFhkzLHsJjWsGUMJAxlBuk66g1z3ySTn1AWUKXHOSYNKBNbn0Ye
tRvPa9Fc/Ng+d1HnVViXuuYN6q6PqSX3vtOSK3MIOHZ1b2fau4IxY5jStnSU2mWAl2o05A80WrkJ
GjN/qBIfrUrTSrzlNmofhNOWzyLH9Y9gNzPSrjDSktNaUDyUyq5iFYqV6SbuXY6j8TsYRgIhNV6v
tarbckl1OOu5rfAjYWH6PoZmeVGERW/zOoH7MqRJeNc4jbu1GEQxL8IkCqa2tFrOXNL9yGYLckJB
w+GzsmMy7ES6wp9BVEVkSgwgOF3pZmud8S0Es9OabKBYsN97e3K3bg8UwLAt6gEqEYTvLh0HOFLj
fvwwVGR8pJ1dx9CdE8IseOj2kVe6VCsp6+SPQ/rF660vbthM3/y5i0FYl1PD8SwG0UKzgdc+cZfL
qlXSDA7X7jD25AqgzvTghbW3wyA8vMy2IjtT5dkn1e8cNRiXDUyQmmBoV0Hd5vVaVla456Mabsww
bFkd4qB+iJHaK44vKk1W7axZqXAetxqkTlTHJzcxumLftQx9jmXdipBUPQ72nTYj864pS/tVugM0
XdmIdNqBGOwBLdGGaa1ifCznOHTBGhX22LQbYpw17EKaqK11JysKLYJpqN+HNq6TTR1TkrmOZx3c
xhClgHy0isC5mfszjrG4/Qwjl01tcDzzmvYu7z/IBxtKWZZ0iFuZfrHtqLqWlW7SVc196JpMtr/p
zR5RWAr3HJPbvzfHTvyMqVXSJIOaXG7Zd1GFXUnpARim2nnE/RBj05s4EqyGuoly8HAz7QmmwRXm
QjC5JzfZO/bB1bIoQPvYJcFTUMYkVNkqlqJq9CY85VkYrke/cPcKBeyqtSyrzewP3rwqfG1/JZnh
w6siCfvsO8aE9c8QPzxPdx0S+sxOzrywpXNhZP64qrpqLPG0J7i+mzZa0/4UfsmwiK/tDLd58ksz
3nHGxJRle/F2dov6oaNHl6t5zRKVw4feTZzako09Av8D+O+xTnWpt1KqCT79oZJXkXPE2HLq9Y11
nfmO3o6lGhfevTa+oE7NnNG6+uijd+DAJWW6M4J83NauxdfEZl/G7jZCnaoSUXxaflXKS9IzlaSM
jDxsKcdLITTer7wsBgjdZQ2Rj6dKrglWRBfkYPtopR4of5FhGkdXBdeve1nBqbIW4KPLjwyfKRHl
NZm1Vb6Ug+s1m8oP9FehY/hDlibCCspHbRBdAdkmtCRjvuBDrkcDx1XdbikXg4UVCE6AtC0wawsp
QdliqOJZLOPUWTkiLD8jbdTndJwZ5ozmPB+MFrfgZMOC2INodMdb8ncGsJCen+JFiPWh66Vcybhz
yj1x2uAEvKH+PmmfQ/MMuerKzk2jigWR/gzSOz+WrUjLFRh8ay/wEkMVgU+JrX/chjWV80oyXyJD
7s5HO8HLD76y2/oF46puajrKr1v7hPFfvHEOoPyaEdQO+AvEQafVBVOCYA5WPnwo8hR0GI1J2oHi
7YiWZZam6Dggdr7CHRU/MKTWW7OksWPleL5zFpnkOOWkwVaq4BvnVH8v+E5ui65ttqAWww9ZZ+23
iboHwN6xGWzCSaYfYVO4D+FsNii2dpachoJmutnIMqBa7fgEXfeC+QrwkaA/xolrvpdydPEmKGc8
eVU/HOxSh2cEv5T3XcUgNMGQE0mMnX2RCvla1TMTkyIu1HJCZ7AfCYFVyf2b+zBMOM2msfjmsMQc
Yo6lwE7GpLmlbw9QfA80s6t7IKHSiJOW+eOsj5RwcIgWWVw8wQnzdhzh1EUBnH+0Z/RcULXGpWjw
hA7Yu7A0Jap/qowyHFasvPKoQs/bumMfPfHVCyihkKR8vKBjyEhNCqtL12Nx1zkoIlz70QlnuroQ
s1e0GngebFxLifTWMazuEGFEu4vlPHqrIE9ovdBVOG0cAaqLNIh7DLJwYibdJe0j7r34udNdf/GN
0PnOd9e8mFHt/6xIJ+xg6QdU4MmJXIUx2OarbAtO9WaaHLGoJ7euENg8RY+WkbWsV9jaJWQhLwNs
nnfRpsuzjBh/hbpIE8RRlqrcBNoez4bml01dfggab05upQ0LKlOYir3WbHURf1qld0JgfY8FmfVA
0oTURh2c5KkrJcNGiiZ2VZrQW2fJ8baA1r5U+w4EHMGx5k9mZhLPtvvkUtjyy+UyyK5cpU2zGZmL
3Uz26JJatettn6bMX/RoDy+KTZnPcq4Kb0e1Y/sjtcdp/V+5nOsyyC19sCaHE42ux3EjVEJV1DxF
ILbYUrqN9hPR/L9JYP8n8lm5v7KiOLulbToUmRCN/lci4ubzR/35FxxXf1l4k/VfDp/9Tx3/5b/z
L/6XCex/+kf8DmNbACldCbrGdujZ4GX8h8y4hLFNMtWu5WLR+mXa+rs5izC2jfLo8x942Qig/6Ez
SvFX7FxAEE1+neVH/lsAdvPPbed/C/JKHmpK1KQD4uwfc7Rcl4aEQid7GwzP3VTc+k/mjtJ7i6km
c6u1t8SMd6K5Ws8gcv0OitBzU8W7OHsN6PuM0e283iY2lH1woqfcDGRPs6Kg2/WYjnGoCBoKi7xv
04h6Q4kpdMrXbvjgKLQ10PDABj5apcGpeLon9LOzjBNE2prk2yFQT728C39EtI3mzs2EpSkfboua
YlD1hVhFpQY5DMbQpiLjB3ASuPwdy+NmIleno2mfLUdBhdQzMhDmesPXp96BEw+Xk/HdSK+MD9U5
H77h2npuWvGQLZ0eHPU8xgIUaTSYsOz8e6vvldezwuDn5uKEMYfVU3Mmron2uvJCkuYx1AS8rHon
JnlYxp4pZmic1TfWCFiC4+V90zEhr8J6A9sWjUNcNBbqsUzYFK3ip4NBZ51X9ruAdcHHtO1p7MEG
iw4y7Owm3U2w8Wto0omqafpobq24vbTKApVnfU9ddSGlkhDQmKjJMSXoiYk5ybyTmb8N4cBgBbOZ
oStuHzj6Q+Jl8SXMaEiu/AY7kUfzY4Nxbrz9w9fmn2bEFyzeHwOsf8toC+GaoAgovf7Ts5X2oiFM
SBXVOGfPdWtAFrOby9g7B1bSrSNBiGhXndo03+vy3snGvWPaZ9J13WYSVr/KGmDlAbXqS/NVagjG
vFRzJuQsusC6WH0B5sJ5tGynJlLJIYoJfZWfRWfv6zI/Y7EymRGzca3KeH5wdHTAorutTf+u5SMk
1PVl187VSd8N3mYGqWsorLuQ2lXaOdacWzfVsABbmhvPdzdyBJpfGwdsdpfaqXe9ZV8m4d8oO7wd
sY77Y7bPovYpKUl+mQrOxsk2PxQKJLCuEzOhO1GgOxlFWK1cFwnC56nEo7sre7LrMPUrqgpBrTqZ
9y1rp4PW4hAOC+aNpud12s0380gNjhd8TqWzKyDeZ/xAqnSWq585nVguXqUM75L8Sdb1bY0vuzGH
p3z8mBNnPJdyKkCcme57FVhwyyHPMJHfRqUJeIRHZFD2zlT+AaX3hxh5jX023YeQA2n9K3APcR48
VwNTATV//OvHRP4JiftrdSa7Z2FlkwIkxUJS+sPEYy6ER5o0h7FcpD9D0OcBb19Qmx8V96y5r08Y
KK5VkN7NXX8fNjXC6HgXE18x06batZULLdRPNklTHpnX3keSHuO4vTaeD+SwZfod9V+lk/9vnm5G
RH96ukFroGEKFnB+BVN4fyoEa7ikMR0B3V+5tYtdASAZcagZA9nYYeCqNYZD0nR7nN+bMlT01rBI
VbR/Smw3CCtVhBzoGqj4dTXghYfmeUbLg1IUA0hKwHoriLNx/8jCurf0eImT7rHkpjVbNGTX8kfo
AKgG6h1YXruhIZj7ccxUp1bUgI+ex9LYyy9KUBlHtK1xgw7Y8jCSXNTlcI36/oIj7lyqgGI2ld9G
uFZ3SvkflTubKyvtn5Sp73t8TKvOKb+w/Edbxyqfhtb48iOLJtlYfSkDpLBK3jK0v7pv9M4xv0oU
oQiAk5/zCsLqWGP2mAkLE5F7wd+6pwWHzon62xAZUJC9VZENW7jGOD+gwUZr7i+veckdOY4oBRm3
mdPeCiO+NC27RylwIXj+wTDJM0Vd95rU7TPWuUWpeZvT6jmMx/tO5vOmXy4tBmXXSbWuQnFwqAJx
ouEgcE3kbfI9EOWjjtpTJ8n0oWLWiQMiyLuEuThCt7uQDdlwAHzMTMl9JVObTvhb3/Rp9nV2YSR2
fPQ3woQB0Q/sMvErMvQBbXDbuqSu0JKLmzaYt3Bgd0QZ19rFKda8JfPjAg1JY28TdWe/TI9JHrzW
vIX7iUsOswnyqHm299J5Gy13+tqCoEs/19iqSyfsDcGl94o2hhXBpvwgARWuZ8tGUFFu+5pk7kMB
AZFTZ0XolGGMX/YXLswQuuweI9MXSHo8G/6rjWoaGMUPCBc7kAH5ArC4yfkacuEqLm2VHuTMcKEo
H7NBXdMwOdsSYPtMOqSaHWDt5JMDo934RbdrkmEThE3OzvSWyAF2+njIughMBmOKFWreM11tb2Hj
3Iy19aJbj2mJenPm6mnMunbLU32sAvdrltY56CK1pfsQ5pIZnieySLhvpmkDX0tvHXu+SUN2LVXc
ZxXHC7cWnzYFy1ui/tfCmj7TCvhS2rVvaKqwjom0rOl3u9R2+9zP3qmnKIsgO/J7ekyl86JcEO6t
OZITTp6IJ711sjuLcfyWUQtBTTG10No6GANWLCEuFLZsUid4ycjWeXW6rm3/qjrjNkzfZ673FEqu
fSJ+TR8/0HSy5ZT+wij0a46JKvOOjaOPd8B6lVW8L9r5CKXxGhjf+tT78mfxMTLBC+W4Mzv/e2LL
TZy5GOAd5xr4PzMuja6/tY272rsrzTva3vPuCkzqUhsZVC38Eta1n+ASJN5zNjaYg/EVze0aHNyq
J64sk59pDOB14P7TvLn+04CYTCaQ+rgvZoUbU7534f9g7tyW00aCMPwqqVzs1aLS+VBbSdXaEBMn
bGyH3WSvXDIoIE7CkjAWT7/f6OAgLBwvwwW6M5Jbo56Znp6ev//+6ozmF7YbUzHsWiTEj5L1TbTS
GS6t3kQlayYUJ0efVWDrTibqx2fdELap2PlgmfMOdWpFSi3rwxdtPfCsJVmTxvcUygc7Y15P9e+U
k58/rsmiuVZFyhe28tv9rT6lgK7VHoV360RUKPnxOInO50vv7tEwZh+8h+SOsgDdMB51AdQMH9ag
LDhYY2sXebBvc3Rpees2B75nqRdRz5AI61mLDLK2O5r/E1Jyu/OoZ+awFVN52G25bU5R3A9riB9h
LOiPR/dOezPR+t609W+UZd+i6aYvSqJsblOqSkAxfG5QU+UjIcZZh/j3ouPYbLoe1otBtNpcuBun
y9mROGwEkuXiTpFoROSUEkCxShk2wDDzydpPQSWttBhY7i00synoddu5mz88XHrrcUBBwD78C8vz
+4nenUzgE41AjJ4B2Zx2bh2KTZAV0J48EH/nEGypERffmJ8hpvwxVYmKaBej1L40SQfQorg3XS+x
vmZvfG9B0JdekPuvU/jZIHHAzCCJX1utNuf9IWQUces8Mb0U6HgrO/t9vGGn66xw05aWdzXVRXEc
dwUsbP6dxB/YzCIAlqPk9sYYa5foJuwAWCaZaQm3TeQ4cHYsKM+htlxeQtXf3DsQ3DKjICq9yCRH
SgyiZRaHINh2/nzfnBwkQU9Tvl3gRzo5DOV6FcTZTQABYfly2ibuXkXhIu1Hhz1UwT+aBZXAlaIs
AgNmkYoWUBp1UeOsEVTTNUqwvEl5e1+SMPPTMF0NwcTo4FIscC6aYL0UF044TMOj8rbj5dxeJA1R
3FRcBcBmS0P7dPDy5xXKfPmZ2gf4w3kIJzQFPsJBuq0Cx1NJZGXX/Bo17EipqcHmvIB9CD6muIgB
bKtBU+D1Vm1Ng/VHXOQo8b4TUoPh6dI6sBSbDT4kV2Vf13Xgchu6UkILxYtO6OM1SsNJDgDNUhzL
sjQyUIseRuD2APAUENkEiDziv+Iq5t0J6YAqfjZwM6lZoGmKqtkaVft2rIALE5aj6uxoTm3cQxGo
F5OxWDKerOlzG7h38mueYhJNAOLqNU5+G0ov1wNiXXS9YAU+rcmvqUQvobmT7H7dVSi2SLVF227U
g6Ng/0zwjVqhiJMzgqUeXrkm7h0PBuFVHZAm+OVGPdgKhSktzSEcml9ELE5sPNi64J2TswWm4miq
qZt7VkQmBasFa0XpOJycQSSW7cpaBt2jvJOrgfOtrwa2YpiqDmDdLQbI6c0EgT6WHAG6Ac7ZZZiT
5Z1fdX/AcckQpySWYZTm4PRGgK2RWM4IlVQExI1oQNC+7yyLnkJA0qWESrkycPu0DAEIGFX267GG
rgnhL65xfRJYCv6Q6QBnL8zg6X0952qyX6/bSs5KYGvlxmBHCQbKgXvTJrSXXyfnGxgcBhY9c7iD
hBJIsYDcGdewwRK4qgILhNhGnupaQBaHJuscYw5d8jaoa928PYJjAz4tHrAKHf0Pr+AV24gi6EHc
Adq12TCPOIRB0hSY2PdAtdl+fr/caH8cvnsLmPIpLyV/UAQgincHTxk572ueU74L3rpZ7Yq3/738
wOevbmxU9WM3DGI/HowpdEi4IiubWeTycN4+5hz+KvaHQTLeDggUm8GfDXr3ttbcrbXgRflJ4s+3
xYqMm+rvIipziNizEMKWSoxQeLFvl21t148zf+FvCy7dH2nJ4dwfUG6lUdMQa7PnkH3FpQ+375vf
/Pnyjzef/ATuspqGcDHFblv2LZ/8eEHIblpXUuEoS8tmnM52BJsiYUxW8Gd/moz94ToIlpWwfJaK
5LLqh8MHY88fjrPmOVS4j7LN/zIMaX7VUNFynbPQI3Tm1Wq4GoyDOM5qwm1DENHLtvpqtZj4d5Wc
vNWFGyUr+Maf+ABX/VoIV4B/jqCRr+F0GtYMFgfmIlwj2+i+Pw9nYJ2Gq0pWbraKaJOs8L/TFAhV
gxEvvRZZ+d+CJH1zFiwoDFxrfeEOyErv+RhzDFYa18Z4GZKSlX6xmiC9OdYtLTuqtVjE0GFxq1R0
uEVhVX6qQvJXOIju6N2PiSjKnFTCxeghbkCFkSOM+j+hxti/PAFw1nJUkay6euEmiuvuAKJVgkRs
/GWF9+H/gHC+EiT0Uwo/wuxtRis+excIw+q3wzv/F/W3n9zHwxyynqDUWNU9gzzsKXK+ZfvgVyXl
JNveDmbjsGpl2cFlwFa25Xsxp2Us9Ajr4bngFwyflcsoYs5HGDevKcgh2QH5OkPuPx9S64aSKPEI
vtQviRglv6AfYEVHuz7+zwCX7Dh6LTeC5Gc026ND0NMvNqRpv/l0XPt8F1qdRjf9W32LLZ4YzAI/
fv8fAAAA//8=</cx:binary>
              </cx:geoCache>
            </cx:geography>
          </cx:layoutPr>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plotArea>
      <cx:plotAreaRegion>
        <cx:series layoutId="treemap" uniqueId="{00000000-84A7-43A3-BB24-9E8A5DAF3D9B}">
          <cx:tx>
            <cx:txData>
              <cx:f>_xlchart.v1.8</cx:f>
              <cx:v>Sum of Sale Price</cx:v>
            </cx:txData>
          </cx:tx>
          <cx:dataLabels>
            <cx:visibility seriesName="0" categoryName="1" value="1"/>
            <cx:separator>, </cx:separator>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noFill/>
            <a:ln>
              <a:noFill/>
            </a:ln>
          </cx:spPr>
        </cx:plotSurface>
        <cx:series layoutId="regionMap" uniqueId="{00000000-D5BF-4890-958A-BCF655AFBD79}">
          <cx:tx>
            <cx:txData>
              <cx:f>_xlchart.v5.12</cx:f>
              <cx:v>Sum of Sale Price</cx:v>
            </cx:txData>
          </cx:tx>
          <cx:dataId val="0"/>
          <cx:layoutPr>
            <cx:geography cultureLanguage="en-US" cultureRegion="IN" attribution="Powered by Bing">
              <cx:geoCache provider="{E9337A44-BEBE-4D9F-B70C-5C5E7DAFC167}">
                <cx:binary>1HvZctw4tu2vOPx8qcJATB1dJ+JwyEGZmmVZVS+MtCwTBEiA8/T1d7ts97HVrm7f6DoR1/KD7SRB
gFh7r732QurvT/PfnsrnU/tqrkrX/e1p/vW17vv6b7/80j3p5+rUnVXFU+s7/6E/e/LVL/7Dh+Lp
+Zf37WkqXP4LQTj85Umf2v55fv1ff4en5c/+6J9OfeHdzfDcLrfP3VD23b+49t1Lr07vq8IlRde3
xVOPf3393+69bk+vrtvT++dOv3717PqiX+6X+vnX19/c+/rVLy+f+E+zvyphgf3wHsZidiYYY1gq
pD79vH5Vepd/vizUmeIsxEyFn67SL1NfnioY/uPL+mNRp/fv2+eug7f74+9/Hv/Nq8Dl69evnvzg
+o8bmcOe/vp6794Xp9evis7Hny7E/uN77C//ePFfvoXgv/7+4gPYiheffIXSy337d5f+CaSogFD4
skH/OTaEnXGhJMOMoj9+8DfYSLiMFOehIl/m/ATKv13G97H4POwFBNHtTwXB4dS6U3+yECJ/WYqE
ZwKjkIQh+R4Mgp9hgAlAot9NkR9a0fcR+WroC1QO//1ToRLrE6Rtfmr/Quai6EwQRVko+Z/AIiRi
WDDxCZbwS0R8SpIfW9L3cfl67Atg4t1PBUzyXOriy8b8BYwlz3gIeYD49zERZxizUAClfcKEf5n6
Eyb/djXfh+PzsBdIJMefCondqV1O7i+kLaLOsJJYheybqgF0RUNEQhTKT2nzAoMfWMf3UfjHwBc4
7H6uArIdzKk99V8C8y/ICXLGFeFY/En5wGdMCcQhMb6bEz+wnu/j8Y+BL/DYnv9UeXFxeq+X/wXh
S+gZoxLKA/ucB9+KKyHPiJSKU/qZql4I3x9f1vfReTn+BUgXP5fwvTiB8D11um//QgLD6ixkBEnK
1J8UeIykouRzZ6KA5z5Jvk/F5AfX9GfwfPVCL7H5uUr89eDM6d2XvfnP+Qx0lwyJVMBn3xYWdgZ9
Yiio+qyD5Zc5P+Hx79fxfSi+jHuBwnX0U9HY7cmcuh5k8JdN+c+BIPyMyZBxjj/3JS/woICTAimm
PjPYi/z4oRV9H5Kvhr5A5fbnKi73p6ooX12e3g9/HSwYnyHMMUISEuBrK0WehUgggpj4MtmnxPix
RXwfia/HvoDiHhyRn8g7uX8uTy7/SxUwFmdQ2zlT+AUS6gwhBcnBPpeOF0z1Q0v5Ezz+5y1ewrH9
qeB40/fgiv7ldiNwliKUgdr9VNLRt6pLojPgM8qI/L6X8sOr+j46L4a/QOjNz6W53j53/avoGXKm
/MInf0FNgaLBWEgl+b7lKM6UwJA3lH3C74Wp8oNr+j463wx+gc3b/7+r/fd59msD8ps7/h89ekLO
PqYEx5+TQv0TnVHoUyQKP2P2or58dsz/fDXfh+PzsG8W/r9sv/+5Nf+PI4wEzN30j7OPr9z5f331
j9eDc5kXQ/+VP/xpr/bvP56PcPUVXB+f8U2X8f0DkP8Z+Qyq79fXEixkqEOCKUZwKCG/Xr+aIH9/
fQ12jOCIUY4VlSHcBHaM822vYWowcDiXAmEssBQg3zo//HEBHAXyMRbgcRxcBfWPo6drXy65d//Y
j8//f+WG6toXru/gqej1q/rTbR9XKcKPU+A/RKLkTDIO89RPp1s43vp49//hXRmMeDD9ph3yqbvT
g5T3qwhcnTCv+FUotOySAPtm49DsNyHqTVr2OUu+2rbvrIMQAS31NyuBZQiplKCMhhx6848r/Wol
iI28CBZFUo+77sHKZUgyrrL9mFfkfrCFOs6cRyt3UZX5Oa79sJOlClJsZraDj4pNgK3fequr35mu
UeR0sTRRyYsiqfKMXaN+yfYr6UiyKDVcalPoKjINs2nYBORGd20QFQ1xe6mrNg6aYO3jOS+zNGjt
lFAmltTlysUaDdMjJqEgm54zlxq5qAMfLFsiRUYbG7h/iaZhxvs24/PJB47Egwkvq4IGO8kNK6O1
6+kJMVReMFpmbdQ35bBGM2oOM+/jgi/zO0r79T22LbtXEARbv9DxvLdTd12U1pvIaFv4KJ/8u17I
bj/wsb3SYY/Pkcck4VoOG67C/jrnNEtCR5YUGXpe+no3F4GJqoHnb5ZQlU1kwqWLQ4P5Ix4yFXuO
yBs9qWAz1JbujaNZtI6UHBudBxu4BW1nkfHET7rddSFSxzyg034E2zdpl3LjlnxJmrAZDksfFJdD
EeZpPTV1KoaG2HhoHN0sYmJp1odLmjPe37MG1YkqPE1E3ui70k3sUawyS9ula1PaIrSrO7rCqzXX
q12WqOLBdJFX1twP0xy8naZm3BjWZjs4xkFR60mRNr42MV3b8X1TGZnyyrqbsJK0iDIeDBdTXbXn
RU7DBHOy6ebpItTNTrrgIBvNN/kc8M2IxJWgRi8RsjmOV1RsSeVIFLCWpcI6tbV06aOu43US6qXc
cR0kLltt3Jkq7Xh3XQ4Fj0qdNZEYOpdMVVvs6BjqpO7b5rK2tn8sTN5vXdf7eM3zPl5cELwTazOn
cnTLZcXUmKgJ4qmAsNqEQ2fTmnbVx3/x93nbq+001/nblQTERQEel4s8nBzM6fENmim+HqpxvkJ1
sMZNPc7JtNZFVCl3VZRlG+lqWLd13vc3Zcn4tizD9SbsM5M2a1DEFeU+HvlaXNulcFcUkzylpGCp
Gwzf64aEMdNNnrQOkXgUfb3zU10/lI5SQFM0kSutTp2qPtBJ5ymeVHWfhWKKxNKKBJ7h40E3fDfO
aj3Oeg73nvVy61xOUuoW5SNfiTyuAqXSNkcynuesTtqcFru2D2Rq8wXNW8E86iIrW7YZKBsFUASH
XOssT4J6FjRy1VLtzFDS80WLLBrozK+KLqC34zzFyHWXc72uWzV6diF9uGxN6cYkHDm+yKW+UkAy
KZHhFRqquNTTHOfIDYcR0+Jp8a3+UOXzEKuydzFWa3Zc8ISuVkGbxxxYf0eHkp+341hfuCns96sb
2SYQgl91sOy4GVh2m7uQnkgti3Nuerbrp2F4asOyuQVmlvtS+PZ30gwmxsJkscp5peO6GAYXsTDn
dg8mQTxD8DdRJoZh2bK1qaZE56Zaoq5uhk2m7bRhnZL1pRvR5JKhzc3FMNV5otvAbEw+0lh72bko
y3IdY9eKPiENomUsh5H2EaYTT8Yie6BhkF2FVeHXmDDlSVTrEnBWBenZbxWWw01APC8jgrr2oWvq
NbY4y69431bnUPzGi4zqZQOctmy7ZXDn01Lp32rsxjGWeQt5rcegj2aq7GatJ5fHBKuZHnVt2bkI
wyxMaa2eF8ttvq+da9Jp6N25LDv2GBaq363GV2E09nSKnBR860Ixr5GSqv5QeLvUaba2/QfRyS7K
xrV/rLAadjX3V04Hb5t56nYuQDhSmLNIuqJao7rEqooWrnrI/zX8rRSWq4jr3D+GVVvulVlgAjSJ
fTYVMl6qyu01yaYyCUg2d3HfZOU11tOIt1U2hfOem2VUx7rKsH3mAeuGW2yq8C6vPZ03fR3Upw5S
4ZRlxD34UgcXTc6djjIPBTrFLcxWqXV6U5uwDaBIZeFDPo6PtlLBYZFszg4oXNqY82nlMesLFKOC
TjTmH+M/r1t662ZZycQ418VzsfAPeCHsFkphJ/eTMKW56bvO73uBi7uhbUAS4GHmCcUNYZdjpZoP
edVRlOpC8LeumenTMsll39c12y7FyA98GeWzqgQOo4wgswskZsfMhLOOgmZq7ohm/MLNsKvWlmI7
4iaMwi5o+K3NePNbFfLmNgS2vluqptkZF4ybvMsJ29RWSx6pUM4XdM3oLmRFnooOtMsUZiLqx0k8
dBqV8qrDmTDno70N1CgPhpguCkObp8j6rI6NQg1661Vb/DYxM5CorYu1i6oy72la+IH9zpFu3JVZ
G+PTvnCribpSorTEQdtFK1H4BjvqgW6D/EZPbHos2xq/ocFE73yPq3OFO7YhdPZXWRnkbxxXeg+q
xtYRH+ERoLUmk1DXjkk5F9O28aQ/wAmSjJWSwQ1biN/iZuhiN63+WRQz2cgxCJaY5Nn4pp2xM4k1
jRsj7ux8udiK9Om6LoRGqx4rFueVn3cGT0My5fk+6/z8TotgSny76Lc5qboLQfMqDrTGsatCGo+w
wfE6Qv2sTBMHapZ7Xc3r1dCXPGkb1dUxRVUAWkxu59mUGkjVVl0X28z386HOXBBWUTkNZCe6eZ3O
O2/0OcgZnywEG30PsoHfh92g51jWUN+3ygh8bZtyjaaFQyisnnexaWl7C6M2zCzFth3maYkr5hJe
InGY8m5JtV/yKnFd2z3WGV+jzLBljw3pN5ltcyhHVG1cw4LIY1FuM7/mV+O6sE0fQoyGupVHHjQ6
KvK2iIowqsNnjfZz6x45Gk4ZE5Gh9pyIx3acKInLMRuicA66d6Av/abHrJ4TNy/j20AvzXXZFial
NittUoZcXvoAiuV2QQM3SWfVVgbWJLlV5dZkLNyZPOdbhgqZYMfH5tIXQLaSDTjCQ1Wnc4bwct3N
iPhz71d2wVU1XmumgzYaaWkOhVX2fhwyHZESoS0bu3JvOmauR61pl5raL88jqUoR534yb2WvssQF
zBSJMp2gsUGU1/GEqa9SX0kyp7PrkMkiNrZQakcm9F52cxGbop66OMuqfMfmKdyvvq03vGnd0YkB
XZpJNAT0rX2YvabkfMzHIDETFtlOZVlT7ow07iiJHOoIr2wHrzzFfMTBbqQjfjd0Ob0OJ9KBru4W
dAdsoxkE7jDUiZ6LLGn7LK3GbDy3uTq2Vm6osGUKoqfe5pnLjxNjXUSGMjitU9Z325H3wbk05tTQ
QF01VOggWlZSPg9O5FcWWBGqf1/lUTuH0D0MS7YkNkTuQpQFqLdgRA81KtQ1FLjm4NEUHpQK+g18
J2jYhDOBmJh99oGVvEwtpuJqZgUBAS2GIvaTwMCidfAQ8BU4ZJmzbI5V7dDW1lWXipI1t+vEwyya
e0Iv2wypuFDrfGKmzG4WYPEtyQMUVT0DWYZdGQ9l99yGdRXzHDWJYLiGyplnIDpXnDA8XWYtiIJi
ogcKCKVmsSIdOfJvaiLClEOhicq6MWlVZOJi0aV+wEN72RDebzrru23pSTfDW6/9sWW5PXDbCiAS
Ug47Dz1GonJN9ihky004szIOS3coffmGk+o5yORVP0ofWaxt3MwWbQrtpn1QSKhMpou9EF3Ecb9e
lU1TPY1LO1x5UF9RDyrgqFerd1zm07nA7+xko77vw42lNkb5vOxoEGropdYpWfRSbTAUpDwa80Wb
uMjzHS+GJc7IFHm9nwt2rhd+bF1+sGvBL3KR44OTRRtZQycbrzWrkxKPAUjG6r2cmhxH3Tjd15BM
m9DlPuZyqWPU2CLRcrQ3+QKKNmvz8CD7IbwJcSXPR1SPaY+NSkQgi20G2X4YFjG7iPoWgwR16GMY
slgsEBrB3JaJZ/MuKznf2rY4l7bfIj0lWOotEiPE9BJPjpUJqI7iPKuwiVti5kNLGEoWDrUpWr0f
9lhUeGMCQ6M8ZG0bV7YNk3Wdd2HR7BoEGmINRxkzwrso56bcZ2sF/DeOAHVW+yDW1RKkvtPBQeeN
ekSsDrddtuC3rQTJrpq8PK/ndUhwgPOLMmBhyiY17tbRkN8llfQtF2t9CwrY7PusGB+sy/yeujq4
xePAbu3aWOBKJnUUulYf297oC101a4pAtD1hjKGFxjU1Udj791Q3LArC/jg35tBVGUsWlL1DM9Q+
usRrYFk8FMF9Y4bgQJaRR/Wkul2wlGI/k0FdTHxSdzIzfeLyxsQeg4AdhaNpR7FMmKiPSDsc48In
HGWRpiF0kai6NeNsQSe49oS5C5MqoFkcQou/7yjZzXYNzhEtqtThqb/sVd+dC2Vvmdcxk45HJGwv
PXnboPlisChdqdyQnv9m9XTlJoR3Vs93UplNHlS3S9XuMos/liWeRxn2YwzS8G2bq8eqUgkZi1ML
xkZctrZJcun0rZmHaqd6DsQ+UXcM7UQgjlu/V9IeJNPVeT6H64G3OkgFk+WusnIbLtbH1uhylyFX
7Ke+zLd0HO4QdUUkFzfGpIQGbx2DxkJweL5HDJqrVVf2iRLjj3YQZo2LyfHEDMCRBAU77Q1NWF+i
ba6qbOOtyA5zyao0UHm3Uxg6/cg1RhyLnGSRnEWydnLct6Utt4XY40EfcEV2K62atMYFe1PXoj8i
OCd+U5iwBs4de5UyskBhtFVV8chmixxiaQa2WbuifggmVSaSQouy8gBU2Krqg/ZovKtFdW0ZiszC
4P6Rp5qY875qnt3M2ovKLkEV5RK5FAj+HNUyaVpcbcBiqvdG2ixu6GwTYtvlYiV4TLgg6InC+0W5
H2wfCzeHj0Mgm/1opLyeB8c2GRpx4oSKurys07GZ0YaPfTzQDAHn+UfKA3Q7ZqaDDmdWy00Fp30k
kgFvNz2TZAvfGvfRNCHYeitsLMZJpVMQ5HlUt+xYuTBMeM2no1gyeRypv8gLFM0rfg5pqKNuFedK
3c3IJoWm10tR7qu+eDflw/OSt5xGqPYgxEkzlxHjebPrcOs3UDaDeGLlnBgSoNQH1XQ52BFDlx0U
O6hcO4vZDosumcIxmZC0EfThOyk9JJSoUqi2z3wil4FjatuJdccCfGByXCPQWptmHH8byJS38Uyp
3TdQDu5ajJZLmunfBkrWuPXBAy0Uu6rM3J8CRusdXI+cBdkioIHY0wa6MZAowd2s6IWnTVKbGcXC
1/zYkDaLDCOPQOB5xFHDHiitcBJoviRywQ+V4CoxXLbx2uoNaOi4rW28+P55QB2JRijNkRJtHtlB
ttFS8Q9WkD3Xxb6yc6yn6r7hBchLNsVFM+ZRAwV8U2U1BXNjW7rlMahlCNkT2LSYMlREZVj2d9Bk
d5syLC5MNhZbhfvrqS1B6tFCX+uOvjFeLbGY6ZjgEoFexOAYCUyGiHbFZm6KIg4LUoKVh8PLeeZd
IsvRJbY1WcIcT0mHUt5638YMj+ehPQYKHeqpKCAd3d1gqmgY3XmmOrUruuGSr2puk24YVDJ4XN3n
jZ8flevPzdrZqISGI6rqecebct72dUFcWs6L3xd9N2wCy/E+wJrsbIfH62Yd899zi9sYMvQELf89
bct4uiZ1NODmvQCf636CL9/vMUjfvQZnKHXzeAx4CQ015+sGzULuQlIa6E2Gq7wCu2UYfP1AsVl3
1ixDHhWBpCmuaxO5fmyTpl7qIxHgmEHbkG1GsfK7VU9FnKF1vvBrOIOXSXiz59wMSRvMReLUfAxE
5SI1mRmAQvm2JlmRCiIWFTU1Ld6MbA4vIc5SMizHhWfd0WThGnmDwPXar4bIFMZ2j10XBnsCnWLq
KVoSmFM81WvW7UY13anM3FXE663wpt62qrYPgQPnu2Ht9UAdrKtARWobniVBFgxpDnUedPIYgPka
hqDC61uOxjFaQScsqwjzCAWN26+1reNmmn5jfpzBOmj1nhd5eFEiYpN81AFYxKWtmwjsG1DL00zl
UeQ18xH4QrVImIH7MgomlHYaHKqGvRdgdUWdXci142a+MV3e4MR+9MMVEhM4qfPGEpK/tSuzx056
d+4on+u0K0xWREHWORtly2y2k9X299ZM/ba3lG08KE0QVHZIqhAqcrGi1kStqEkAvLCU+EIxMebH
kS8Hx0zwkJF6jUwNrUfaBRjfK/jdkiUi0touKn1ljnMHkkxkNd6NE0aHWeQOotNVq47mhYtLQXlx
yPKu2cEQmiJS9Efo5clDoUq2xz1vPnS6BumYhd1xaqFhcgFFN8Sx/Crgnm4b3Zpt0zkQQJg3OM2L
ASrvWFfsiMY+aUH8wXf6SBsZcCmOqmXkbqhIfl4uhNwD8burgVO9HfOmdxFqm2ZLTEWbzYwqwqKy
qecYmv8aSp9Y4yVsRrDZmgGcML8QfZIc+CIq2GTfECwvBsUcmJmTuzaN5zGew+dMIfoOUex1Asfc
2fusLKp7kCG/GcVs1Nj2hgzdPVF2TMaPhtewTrt+XeqNBe18mGcE4crA+JLcjbs5WN2pZoXYyTo0
cZ1nKB19D1EE9mCSL3a9RsM4x3CO0JfRIiTYZpb0kFohGHR8gJbCi40vTH0pLR3iupnFttf9m3HR
FWx++7bATRO3ReW2ljB+ufZ5cbsEXfN7mMtARygT05ayIWziIaQ6qhk0Nnl2r7VSe/j+JMidwUdc
Doe5MAYIbzbnCxEfCpD/ETVVn1iwoIAJZlbH4yDVPS4rKCbdaudk6LE78jW7HsR6zXOubrSQc4zH
st74njw5LSEYWUEv5gq0cWtWeujMEpxGnudp5tXvqsdyx2s9RqCSwngZSxBhitYBHBGVZj+PBO+g
6kJrTM4LUE1vTInZJcEQfk4E+fkwy2AHjd2Ugni/6QseRDMcTG1E0x8xCPVO9uOWruBKpiNZu73t
XHA5LrMCEyO81zWH6WwFxyutNZEO+JgMxICF38LLl3XcY3oVrA06YoHWSGbMnGOZQ1NsrQJniNtD
7+ZbTFpIztaJSEwTPieZulvmPjxo5+4QJFGE2LRpR6HSuS/vfWkul35FseZ1GM3EFDhaLRYiZsOK
dty1/YaAwgEuBGs0THs1AidPwvqD8rTX4AK0IQTzlINfzYGQsWrrN4sK+HvPBLiWXqsYhMUK8LJu
7yEMk0XWXkNLbetNDbR40esuu27XdT1fei4vpOrL2NbmDcv5De+M2gyhOnGDD+WcHyW43duQdSAF
F3qjQBcdCj3EbVMkRdU+LIN5ZKMHo7Wrddx4EQX2JutGnaxwwHLXMlrFJPDlLUW+PTSd75Mx5/qB
EcN3tp1A0sydT/pWJvmKRdLoOkyFrINt1asoH25mOGu6yCdtzg3k2qmasyKLS1GD7O5b8F4GBhmQ
O3bEA4FzsSasUCrr/jwfQ5nMuN1jDnwahWwttnKBI8GhALUQGbFAOanKzMWIhQgsR+62tKkUwCgr
8oAaHX4UQDXby7l07zB4DZA/A/FHeKg5d3J500uwqMqAbDzw24VaSiPiYJyDp9WCMIN6ON0U0zru
89pZHam2R4+saIN76PvpcYVQfphdOcYzeOw6sYPuroAXugbeOix/57Man7Tooa8D00CNcChkLVsP
nWOFBfc2HB5Y3xVXYzBDGi8WQIAzpklfZutklmjtC5CZZU3VfYl5t9ezX4GuWjT+NiHB3gwaa7ct
BfhULmfegZMZhh7UICmvciYDF9NyVm205tW0wpYUYR2HRBRvhnJq93AcBTLODaTYQEcd7sRQFWvE
fU3gXlKNsbLT+GiEe9IVDeJ+6Z+gLQ/GqCm8SVBDnkoQfHDgtoJhFQUGLJFuQPIwkr4ApvDwJxlq
110s3GuQlIg9OmMhl+Ay6i4Cyrt3tCSFiDuS+U09jOy9AUG+WceQ72WW8ws4ZZ0vh9ZXYI/BmXDL
p35TFyW7GXgIjKZFDoHSCEBv0JzugiBr4fxJL7GB38r46HS5CKTiCN/gYcPG9TOJBTbFDs3t/+Xs
y5rttLVu/9DlFiCJ5uU+sBaL3fdutl+o2LFBiE6AEOLX37GSfDnbOm7qU1VenDhCS9Kcms0YQ0/R
RtGGbMugPzSUeYembNrbxYu2Z1TW6pMcusO+r6l/SDzZLVkpoojD/Jq1OsbRVh/joGSfh0Eua05b
X17NXtu9C5c0OIaoyl7EW0vuW+2J+RCXiUYrOiQHIiNElTQ4+KSKcfFt/ISOYiE1DnC1J3/0tV+d
Elk2Dzj4Mt+9VF0O4RDe+2v9RzqjopdxxLSZ0usrHRd1mGklc0H3B1Wv7TEcuzRT/q6ysg7NIVq6
/SjNx5EfxezLjITDHTqCA/5/GbyrRnlcjZiKlCf7+36t/eNWDVOuGqWP2xbEWdlOV6RnyDrifbpA
FlifZuKVT2r04etV9Gkrl9rkTZ/I3E/X6bZJUPzaUAJ7oqIUbdb0jL6g2bSf6ropH3Wv+WnZvO21
XIKv7Y6ig0hLet9PU/e+57g7BpH4Gbhk/FHplBQri9ruMKWy5hm6KNF+aPYyveYoSyLrEE3zUit/
eYpDNHzysOPVeuhCn1+z1CAkqBIaHCuCO5mJ+FDuZHvejAguOFNrQbcUCdpw7qrxS0MHtE7JGufn
mzpG4pHHadcfRgACsjGQ/vtNjVO2qdmgmrK258ZscGy4XvOBjS/IzBClLHQqkmEkt41u1lNnWn40
IvyE/lt5jUCkuWkRTR46iYTG8C66ZiNc7do0bW7Q+7ttm5p9iL097ypfnxpOzMW8LPGFGMfpetwD
fhJq9p9qHa4Fmgwocy6jHlG7MaMsll6Xz/W6RXcoV+KnNGgKxrKn12hNBw9YVYr4gJrxNigVO6C7
1m/ZsMchYBRjst/0+xZ/M6bv2gLdF+SA6LptV3pK+SGhO04Paqkv1U7VPVHjg1ftxx7VvFu5LdEl
beMmzYAAHa6rvkIxTvpsx1+YVnVqxkAc0n34JnUU9JmO0FKJB6L+bAEdOC1eW16QqsX3hnkMiwCB
wjX1t4u2M2CXroDx5Onq6TirWM/fY38/mVA2xYYiAq4u9NWzqguQtm3lMWrmjz5t6qKmXPBMBzWb
MooyHYo76N/5R0qJp7KdqCjXIkJLcQrWa7Nv0SGRvXpdDDEPjcH9OMq4yZYaicFEhuu4Z/OcjRHD
ZYOeOeJ/aWr+tMhEolzczOSeVPDQy+A/oNdw4hrnt2PmXdAy8efudfxlTqf4T3Tg0humgiuuGjJm
yLdDVItCPfXwhUF7mDZv+OihIXs/BHLKWN8HOBWBd/QFGT/ptFlMtpWrCLONRygFI2b4ghooMo9Q
kvsq9EkOYFAzYOO6ezT+t8uh7tMxmzfqX1cdh2k3CxpMHpMAdnmv5bRNn9Ia8cYhGlb/GtVn3DZr
w5ovJYqVSBOojgqig+YCmJ0UG6TkBxSGXnm9f9Zb2uIaj6Z3JKzbSy7ZLjJcp/xjgPzzw2J8tHWU
75sLPSFOR64xI5vyW6ADkLMcq5SvuRBb/5iYbj+UfRLdL10X5+HY6ou9F+t+QKVvOQVzNdBTP2pg
MnTWlBqZ6OIdTEsOfyU4AmWJ0x5Pj+h4BdnEhwBVjGreLhIvTNHK8JLCk1v4OFB/vYk9dF4X+KMn
gDy8w45K/xFB+/bQsopehMtSfayXnryTYhHAOgC1gm6PDzCHR9diVuf6uCem4K4JNepO/tQlaHgt
80FP4jhwBjBRXOEm4L1BoX3lossCXR0XLwhvfNX2h6UPAfLp9ygcj0MSN8dIRn2exPO3JuDLcRlK
qbK5AZxhEu2ehyR4iVHbP3A/SIsI3jRHf7e78drwga39fpqjgWUh2+M7M8kB+f62fV5bItdsTnTy
SNH8npAi7emdz4PuCU3a9Dn06PaABnb0OUzq/tozEfpqvb9eNVNs9kNVtepAhjp5pgZdRkOWjzPq
0CKb1LTfEr6JE5A0U4GrFHgXbtS9CrsngPfEzYaY66JJZ3KkOnkvu6k+zo3kCCWTrXkngdd50OvG
tsxXtHm/yR09Ai/ZAW7i63gYyX474UAcelGuJOtMfDnXoqg7XV+xjqMcWSbJVcPY3ViK7qhIl1z0
g+kvUctYDzsfO1jEpq+CEcCZvZlQ35ziuDuUifE/lv0E1Ach5IMXkadkKt+l26gf6qnqj3GJLE5M
c3XsNKuP3dY81ugTcqChLmgSw37S1FybZkTltd36OzGs06GfxCVBOPvYxxx1AyRRN6npjMiQPJHb
MU6HC9T9viTz+EJ9c11VaBglHrvqZYemjZ9U6qIpN/9jPcn4NLddWjBKu3eBiuG4FvSkL/umvwqG
SF2jJgBMCGXbkQehfN8KLFQyl0uGNFkm2YRGtY/mw3x26Z48yEi3p0pWzUXoccA6BgXYji/HkxYL
CgCbMqGfjRX6sjX120e46bU9t+S3HDfHcEJP0r9W4fp1nALUeuaKXZRco7TXohV5B7/FDsB/mSvg
CSi609X2si7Vdpf0pb5IVbI/AWLZ5jsvUZJKg/5JIrh40osJ86ruxlfTrk2d1Wpbr7fOnw81KAPf
oo2U79dZbFm9IylFRbqUApa/y3u0l9IPPW/NceQDqgb14B1FH4qc9ay+bDQbLrs6Dh8DHvE70s8o
lO91Ox1STZYH1AbqL61GPznjY08PBIVIwB2C6NpEM/0YCL3Bn+0zqoYbu1a7SaeDEVsL3BZHPwGk
hS+yTOkVApXqC4qEiCGacymKyOaRIwnvkAgodpUsH8+loA9+CVRWlg7+8rqXUfge1Q3+Cnzafo/a
BsmrtPTyfUqbr7VHgyezRegclEP7UjZlnaMtgPS+90xG0jF+Zn7gF7WS7AA4cv20VmifH0aq2qul
bsS3ISDrc4/rFY0ZU97LVDIG7ETbXXRLQ3OvKcsr1RFykjPuGiTPvf/Qtka/oswS3aJl1ebJkCiB
I0/ne3QM6HOnkIB7gxHPYvA+N/OUnKIJ96dqy6u62ma0c9h0X8kt+IP1K8qKAjaT9cPi407kHoBB
UweIzR5ezqLxMpRn1qd9R7s4C7Wajm0fj6d9QiFjbFJ9GNMw+BY2SXkNhM7YZ6OnJuS1paofIgQH
JzTjyqtugB3qSXY4tkj1kTqjWoBuVPikh7l8atJ0yCsAAV76kj/jdkXMw5BL4/olF1MXx+il1eJ6
Fu32LtL1fmGWEY0nDyoxWYiw9ogYWXxIm9GgGO2V9ceVxqi5pW2jUXZAfXsHrgYuinviFPuEXs9h
tP/Rjzwqkhrdu3npyCFFynlIG4nrCr2+Z1TDlgvG4jO671x7H301fwO4xhySoWLPuwz2y9Wo9oB9
mzMkXenVKHSEmgY6MTBVmS200yifzDHqCibyggywPI5jiQ52t92tfHns9mABMm5ZTyotkxPQZIg5
K+4VPVo3z/O6jciYZ3bhUxkiq0oCzZBUmuTb7kUMN8XevxM11iCiMznxNhouh1WXd1OjpntazuKq
DjD/agdQMBMxTbDkwVc4HO92Lc285FHrJV7G2hY+6P8AK9Y0TdiaU71qFhzaZPjK5FDmGyvb13Yx
FVoogAy/i1r0PxjQVw9rXzafRDqvd4yg6YI6LcCwYvVaeKSmf3wrL/MPnPlvmPWXYTQTgBr/iPz8
+8f/9zJ0+OcvvZn//MuzRtB//lR8Hc4csNn+S2cg/L9/C5/5Bxh/Rp9/94f/QsL/BOv+9JcK0U/+
43dA+C9v1Xb+h1fyF5w9AFz7X2mh/8LBf0cy+Pfv/41+T2MwQwPAus+4bkilnBH1f6PfowQaBQwy
BT44vglCRdCB/kG/k/j/+qh2szQCg5GAAwyqyfw3/v0vyDwlaYJyPwV0Hfo3//PTvtsZYP7/+fNb
ADzGGf+Df/eAx48pWOBn+vBbtPlcbuUATHl0UQdHNK/mFdTGf3///2Lc8/feoNjTEBC4ud3ifGHA
XmRAZZkPdRhtfwsY/a1f9L8Y/gyifzN8E3vC6K2Pc9zhE+64aPerl2pDovPr6YN38MNlAan07fhp
twt46DLK05DN++MYdKkPJ9ywIPMp7v6MErmUp19/7Gd7gO1/+7EZe9+gDhnl2znay+BBqykbTJR8
+vX4YMD88MdYjII4Bay8SU2UK8Rnt0Ggafes/caPbkyCymvhoRc1IeiT49OvP/iTH5TgpL/9QWMC
xEh8/uDapvF2NdSqVAAdqJrnv/7AeaAfnNozx/TtBxK+a38ByhmZ5Bzrq8iQMjyMYg7rGybqJrwN
lFCA5syyN6jytDSQJ7+v1+ni19+3aCP/mk1yXuo35w89+Vmw2bBcVdUqDwB5FTEJvoEoIAHokZVe
0bw0sXcz6CoQOcqdQ4JUpkrCDoItDgaWnE/umxm0lenWloE+oJOQHcg0fIuZ5r/5fT/bQMsrDLBU
JDsLy42Z44/+YAbghFVz7zZ1yze0ScOjmaATKgjnX33ozt30Hhfq4Da85RsGT7NR1oyBnxOv7wMN
XO1WIk1zG93yDFOrm3EMJcuRxO6A+mwemrvROAyx4/QtbxBuVZCgBA5vMFCg3U2EMmkmJUzp+Otf
8BPfFlnG06EGDrhvFRcdiuTlU9x1Ur0nck/9q8Wr0/gR5CoSXf76Yz87SZbvCdGn6lFbQnw0mDh6
mDnkM953y+J9cxo/tlzNnPjK1xtLih2QgNxUFHCLjYt5+s1unE/8DzxNbC1WOgjaKoT5xYBsuTvp
KUCTu9Um4Edk1zR1/IzlTwgdUKEePXQlFxUuF3009EBb9UG75SNf9OZm17HlNOSwypJsXQIcgdhf
gAmq73sgS15+vRc/WyvLa2iBpqFGjFOEQC/k7TzF5KaiZpAfBEsAQ/n1V35youLzv3/j+Gp0DgUq
A0kxtdRcet3u36dVMLXgzjr41b/oeW+GH0pugE/Yo0IB3YtySbPR12gfxtxteMt9qDUeINgGZOTa
YgeAXetyqjwUOtyGt5yH4uALtaYBSm5eBfbAJJuXzb5BV8ntA5Y9ixQFTJRvEqCBOmA8xoD1Op+a
eNcPTh84R8lvtxedBDIH6MUV6Vzz93Eyzw8br6Rxm39kGRoYV9BtA1ytGAldOCAHZEuzWnTadzOx
yDIxUElktIRTXIi5Gunl3IVrkjWKgvH26wU6e54feKTIsjJTNZXfaWyxLM04HZuKxPFD5+1rdFUt
ZSfyrQpN/7EFx++T6ivd/8aT/yzmiSzDQxO7jAdAzYuhTdrxqvbmMkZkL1KEdcmiG7oA6dTs64Gj
J9+dxLZX8TGimgzPq79E6je//yf2H5HvD4gBbREAD68suthTR8J1XCRxS35zPoKzpfxoecPvh2fr
soH8KtOC+ECi5ntQrkvOyn1vL8aUxOa+mrvh2+hR3V3QPenZHRCBYX8bxknSfEwAH2G/mcrPfqhl
y0nfsHHQnBZjXM5gLu3p13HbtHTzo5Flye0ENjagUHExeaNG1ymgbVaRpPrz18f0J7Nnlh2rYIrA
RahoUY1b8spwu93Nvte5uVF2No43XlqSqm88L0bltkUmc1BBgoYSSuNm/s0p+4mVndVq3n5g5tKw
cJuSYjG6DEEunCb/8zYGsLg6rP0h67kauyzco7H6Mnb7HLpty5kJ//bDRPctDtEUFVFSdgrNsHAG
7w5Nf0cPziz/sdNdSLSO4hwFziAHS6067hEqu27bfj4ObzYmAu6rb+S2o2MDPu/eo5UXTWPzGx/0
s0Nl2T70hmoPnY69aEIOPAxICcfSDKHjobJMH1nPkAA/vxch8sbMr4MPfUV/F0j+bOqWNQcRiuBb
W+1FFZvlVpkekMpW1iA/uC28Zc41qD0jAS2y8MouvQyB+gd2MqGF0+jUsmYyrmxcBEZfShRfNQG/
Ze4C7jZ3allz0od7ssbYVm8J6wMQeiDioPjp5kepZcqN702+Lue9kAFvUbEFqnBldD/9emXOZvOD
+4Ja9tqXrN73wNOF9thXpJ1iPdFFjH2x6Dhy/AWWyQIWsQK2U6JHAcN9SpehyQM6CLd0nFomu/QI
hcCS1cUAmbUz3E0dG9M7uhtqmWywABuW7I0qqrml17zt4ttxax2nblksLupSgIu2gDralMEBKFdg
fepN1Mdfb+5PjJZaRsuA0BUeeJP5eIZjiKVablRZto5GZZmsrTlCQEpo79mEnpPbuSGW1YqAr7Ja
zwTHSoGCPrJXk5r+Nwf/J2tzFnN56+kBgxY0Sco1l20dAPEPArGEnojj1C2jJWAEhmWTrFh573UK
Ed8BDV+6bSuxbFaM6IV5c/TP1GkIGidUV1ynblsrS0qV1MGapxpF4/A8OrrYrqOft+PNBSv8dSxb
cBjyrUnrg0qEyqIIPEynA08sa0WnOxkg3ofRafhVcopuNq8cK1vEslaB1ycSXmHwdFcdMJOARdYi
2txig3MT5e3CbAuJy9aINWcLgCobsExZMJaL2xVFLFvt6jHsQZ1Qeb/uwFHV/Ktq9sBt1UPLTmeI
MQBZrFXeiZqiNchevRWsHqctDS079Us2EVN7Sx5Lvz+C1/zHrIBdcxvcMlM5p1uDSFjlDbj9WdRw
IBsnUIXdRrfsFJozHlqrKaaequB2RnvkoYzB2nQb3bLTTdEQuhipKnbwx6BnABgUO3oQVJndzkxo
mSoIammnxmotDO169LKB3yhGHS5f3OZv2WrAy3Aatg43azm3V+C2B2DbNyZ3Gz383pzUBHJYBcph
saTkE5QFHmdKHt2Gti11NtBkMd5S8Nq7g3t8BVXCsXwXWnaacg7FjT5Gj17XyVHV7GWANoPbhgaW
nfZi9qY0Uarw+MIPgKnfxJCHcTvsZ7XOt/4LbWE9ziBi5H27/clN8CFk3bXTggeWlSZcV9A/8EyB
YecFyh1zHWVmJpWb6w0sO12BR6sFnZYCam3+R7rAD2Qz3wO3SCOwDFXJNvTbclBFN0z7cdjizzUf
S8dlt4y0TLiMVz6pgpkJKhsdZKFm8bvO63mQHyQHZ/DA2z1N+4hCFKFbCmjdpQCOVQF45uX4wW1b
LRMNl3CZ8HISjmMNMQzS6Y/gFzhuqWWjOx1SIKOEKiYGQGCQbK+tTB7c5m3ZKIX8j+YEY3vN/EKV
uWV0vnUaGqKA3y34oKHcBPz0kvulB1mgprwBl8+xPuBbFhqAzBnvHjiBeJDoHhjJ1wQ6b26uxbdM
1KsRp08D1qSt+8ehGk5lV7t5ct+yTjpqQzbU1PNhXy8mUOwpc7tBfcswR8MWcFWQ20UdCE7DVvRT
6dZm9S2z5O2yQQkFkx67d/uqDk383u2EWCbZps00ghzo5bQWn6ctfUz2yM1P+ZY9KrmKzehoKczc
BC+7WcKiUWQ+uk3cskjSl1vfQNyrmD1ACcJeQGUm/eg2tmWRouUziwPfyxlHdOv50R80JW4XG8Sm
v7dJHGwpIVy0FDWPtoyBiXyE/OXqZDj0rAr71sUmMwT3KFu9XEbP03BMUMV2WROaWhZZVzXEG2uz
FCoBmEOTGYRFGb24DW7ZpEb/HWyPcs6DerzQLXr7kkDaw21wyywnpXwBZsecJy17IGr8wiGF5rgq
ll3inR3jyySd86kjDwxjb2p1HdsyzUDzGMQJ4Cv3kPg3KqmaK0mhuea2KpZ11jNdW8SzOChsh36q
37xro9opwKKpZZtbqqgWKSx/gxBmc/BpGQ3HEBEQd3ItNLUMdNQdLdGrWYqKjn94ev2A5sM7p3Wx
wVorWIEQ1cC6KAU5Wwm4aAZh7NgpjkBB6HvznOo1Rj16w8TB9FCDf7WtYHS5zdyy0KaLIbACya8C
pO7bFoBDsDkgRus2uGWhqpqAuVQrpIvG9hG4ZYiy1U5BCk1s+2QetGFJNxdhyMKD7iBDEdDmm9u8
LQM16CjMSXeWA2ujV3BxrnjMnt2Gtuxzg0SKSEJvKkwAHYx2iCGG3DVuyAiaWPY5MN2nK+A7BVpI
YK/tA0QSwPZzm7ploGoMZ1EHeiqgLtm12awm7xqCZ+bJbXjLPLVH4BUhRVuEq/lzRgS3zclnp6Ft
gNOCiwcEewiWiah62sbx0u86t3NoY5vWMhGQzQJpcl9lna+6Co9e239xm7dlnHwHmn3axFyk9XgQ
FBK+kCf69dBnO/nvrApy4d/7FO2hHryO8QR+0soUmEZRcyujERyFBjIoh19/5GwvP/qIZaRM9Fsv
BjYVLSef2pp+8Ebx4ja0ZaIbEI9tFJcT7H+FAss8QflwpW6tOujXfL86FXRF+URCTJwGH7rVA2ff
G9+7zdyy0XqTo5j8ei5YyKnOQeY0FAqzbS2Obh+w7JTWVZWA0I4juXmPHILnXLrl4jS2bLTlTCJh
xtClSR8Xn9+XJHJqQ1Ebs9QmpuwkVP4KUnZh4SXh8hhUmjshfSGg+f2GhvHqs5XjJEK1x2QgGxaE
OgLGqI2HggyEt2xzPRX9Cql4f41PEgKjbl7XxkItE1WQwMCSwz1erya8btnmZkM2CirVoEo2spqK
uKygPbOba+jYuvXNqI10go4HuM2QTCugYfdAAnkz+YvjvC3rnDi6E5H2ZDFHCVRnQJ0V0imJo5Fl
nOUGteBqbKYiwspkkDfUoEp3iZs/jCzLXEgjPeh9SfRtakjlhOJRealbCGpDkXyIhJie+bKoOOma
TKNQkSvfi9wWxoYiNU0KVFpjYDegiULKO4qeWu7vbjtqQ5FA2Y5KYO1ksadTeAhmeoeb1K17Tm0Y
kvL6BFqaA47LkFJfwNeCjFZnSbqK31ym9Mf3nI03AjzXB5G0x9pXtY4PPYpnRVlS6dZHoDbcyAgF
RToozUEFeBbysOqx+6bSGNxopxuDnX/Xm34oVBd9ikcaoFtWmxkPXERNhhViJ7fRLXON421LfAig
FqqNwoMfAVdOkP06zt2yWIhKB6jC92MxU3DXIRIcij+E2frKcXzLZjc+RZPesDYQv4CqzdK929rA
7c5j9nUaDrrzoOtTTH0yXpjZn0+6HeoLp3W38UZQAiEGYgTjWTF6/+APZXWBB5VH4bYwNuCIwE9C
ixPbmvalnE+xSgjNWDlE0vEDVvSLZpwY+nHFypNZX05T8q6WrVttntqQoxg658AYT2MR0+WZV/Mj
2OXPbutuRb1VaTRp20oWcZ9+6gcNBix0OxwXxTJViZJ54kHiuyBTk3zCaz/bhRLd6nhkLFNdfG8z
O2FDAUvFywSAvmSe8eLcbWHC793MZDz06FuMzsAgzs5q1KL/HYrprxD0B7mGDTOSfAO8LoE0y4oH
HcoM3WLQqX0I3gtI2KeVuOhGo6HfB6FzAv2fCNp1UBN+AcUtlg944G+entO4gw4Y+pLDRSN6GmUQ
9UYxvtpk4utsp42c3mkZeurgG9mLPwYIkcpDhMAyPAYMtfY8HtWmzmLR4EtDCHXZLpX0kqYI462m
l+XQQIQ+8FFN+OgB2WtOAYGa+pHEG8bUUPXaIXyQ1jPYduGuTl0YbvtxXjvSf9rOT1Y8LDTyms9z
AJ2xIsHjAWsxbfi9eAJmhyamv7Lk0Mch5GoiE0OhoQoGyJ5HSQ9emA9m+zMeY4V+ahhBNYvP0174
Q5qYk+7alUJCkFYsX2NNUcKGJAU9QLi2g9bDCvmIQzJxEkMCkE/BtQb/Ob1sSbDQYsdq6wMjYr3c
oRRzN+FZEHqEVglEX5tyKvfnNmiG2C0KoZbD7DaqIqHIUESsHlD1gfBwRVI307KRXoSWBoFkOxZ1
1H0tqXguY+42bxvntaITs7Uh5s1UWcwQnilZ4FYcJJaXhN4+MQEqSEWYpltWeqmAAEAwOK6JVSaY
/IpEAk27ogqbJtuE/BY1k1vQRyw/2YDeuvaxPxTKqPEOBC1+MZClc3NlxHKUdcR91UPWvKgmQW8o
4lcg/9Xy6uTKbIzX1OGhlHVch0JACeX9lECwfOr6ZHFcdstTyp4voImkQ5GiqJxBnxCC95Ub+Yva
IC8fJswoZBgLM4xld8QrBVCjknhLwi3LsWFeQc+D3SM4kVHVsQ0KxT0UJGOPQbHcafFtqBd0u3Xp
1ctQoFH1TY/0ikFl1G3yNtJrVHpapYmHovZT4MiWGQp4B5I24Te3uVvmujK5Q2g9HItWpnuSxQMe
mjig2gFFdLcPWBarx74N/K1CgOAHNFOxbnLOuWOAEFo2O8a6bHZoNKIasUCkRgXRYfS0X7jN3bJZ
7YMqzaB7DqJr215FZGVLhrdCIjd8Pw2t8GZu+gpApgFuuFfxVd0T/xNyWuNWCg4to403PFvQzYhX
UcraLktaqiL2l9jx0Ft5SEhalfLz7dTwrjrMWlaZguCY46mxLtZgCja1IU8uPNOTrzXQ5l/3TnVu
yE9qg75YCKlXyP6MBYvi1bsUKV5Z8Eut2W96hz/h1VEb+AW6aVlGbdIXkDIl08so+DocyriHTpme
B+8FhLM7z4MyzhFRnEgPVYpk9FR7jA1uu2/jw8DThUxTg/hTG1knB69rIEDR1f3YuqXRNkAs8iEe
HMqzZ4KcU3kNnUjwzow0i+/m+myI2O6rCYzXENKzJODQwtONplkj6OoYYAWWeUfz3k19iA8YBVHt
elcf8GLoFyfXYaPE2gVqi6na+2Kczo+RVeQbxPFcJ25ZdiV3PCMKHd0Cse2pDaHSH85uJYC/KJRv
Si+d5/mVhoJIsdAVT2B5FK0GvT+5LYpl1QuExKpAr31RqinJVQ11r45xx6vSxonpmA99jx0tOIQf
P3eNJl8mD9eN09xtoNjc0H6gfdAViLXu4nW/bmX1yW1o6w6u8CoYxZsJfTFvYX0VtFOSVXzQbpeY
DRWDLifHK0CkK4iAZFaGB0HkVR2rvnYzUxswRtNtIFHvd0XM+uYg0+RCUAjnuy2NZaLT2FdVmfK+
SGmtb+apo4d4adbHX49+jhJ+kKP71v17fnsUUv6439udSoT8/lyleesHw5BHyOp6pxiL2HpMUP8o
SzyK2hb7FH9Gon7bxfWHX/+C8zr89y8gZympt5VSuvpoDYKOBYbgUELhe1brV02km/QASa0F4oiV
+7rs2yIdkxLVHbyj2EVMOZkUgdjVd5MfwkZt+4TJ42VO5PgBXuqApISbOyA2fieN9tgwiDsXeAUp
MMeeo/l7wNOQzeqW6drQwARPcyQRqYbCV2QZM+wDngkTnp8OR5fNpb4VYnUen+Wacric80sPi/9U
BaXT0lPf8sTQDFkSf8LcUTRlRz6hQ7MriAm7TBzveX+/sT18jCcA9syDeCqfVuONz33N3EhqEEv7
fvSW94Hyw7k9X63J49gRViycJU6LTmyI4IiikV925yNfo9g0yOTRoxV3XBgrGVJm6Y3C40cAfkCZ
6wBOqXzd23RYHce3tjWB7OCIyLYt8GoPHhmqfP9hAJ/vyWlbbVSZiTgqXFp6xyqotuGqgaTmXRiO
TP3GoP6qtPzAm9nAsoiSEOrLCt4sUqy7l3htTV1wscrphERMhSdo6eHFIYkXoYYbDw9N7Tdj3Mju
NQwIPako3C9j6hmW4bFiBXUFPGYg7rueQaAe760aDsnjutw/D6Xh0K0fceceFGu2L6Sj9Hodm+XK
8Ho9kVJBFXmHBgZeCek43V/qAPyWR3HWqXiBpPo4H5Gw4U0ev5s03kwH8vOuwft7+xF/e+a3BML7
q1MgSWxVMuAa8Ww7CMl5VQbN3ZqK9CbkISSz3fbUOpED3qg7KzmLItz8r1EoH9OgenAb+nzrvgkl
kWtC8DjSAq+MAGfbhvQyHObfCWmc5/ejo2JdfEp5XbXPmyjwqg0hl9O8t/qYGqAejngLLK0uozRq
a6fqGvT6vv8lgUxZRFcmCm/0ohxP2rV4wrmt3rmtU/j96DVEWpEjElGsA15P90qIfTd4r+fXg58X
+0frZN0hgY9HhMSkRBFBZfoZqGp6n0B99o8NOui/qWz+7BOW0/HLNK7CUYp83ggeJq8XiQdQsnVC
sf2SazDafpNU/2TLbdQc4AmVWqO2wrtIixAnxbYA6DCvzfGWdRLiGT3HthOxQXRVjdpJiXcAi6gP
PQDdog9wRI4xVWxF+x4ER1AI6EURoB2H17xPCwl+46B/shM2iC4mwHLu4OAeRSXj/8/ZmS25imvd
+oUOEYD6W8BOO/vVZK7mhlhd0QoEEgjx9Gf4v/rLZ9euE76tiPJyYiRNzTnG+NxZgR1+HKXC3J9X
ax/fpC4g4vKv/691zfDZvGlEhJgOBAkuLULe1QRW4H9/YS8L+D+8sNdRYDYoMOYCQFhCMJA/+SiB
3Uhuu6yQayHd2qAVSZakvmuopEezBl1I1dx0jyPiaiHH3CR9L/qySNbmPi5JRkd+4zO/WsaBxD3w
QPjofaeHUk1H3aQ33Q/JtYYuIAitsaori65JHwSLHiYwq2/6La81dJAVXoJwgT02rZ/uW2vdHSCK
n2778KsyEEDreg2gIhddUtkDeB40C6qnx9s+/WqVxqqbSxZHzZ1orHmA6vXLVIXbwmHJtYau4qKK
1nRp7kBu6xE67YZTPPW3SVHJtYwuChvmKXpu7oAtA5CylgAOzvZw23O5One3Nga8nYyqcJo22zFN
/ZuZkcd942O/OmnrUQEOQwdVDICId/14187jbYf4tZQu1NtW6QqFVO8AjxuWIc73nv3LzvsPu9a1
km6FOn+Hww+LyII1BdVYDoDajVvitZRuR0iPXUG/hGtJh3yozDhdoGrqNkEaAqn/vqErHeC56JiC
0WrcwXzty/lh3LrmNh8kuVbTLXwoBzERhXD8HTPbD1AB/MsG8z+t2v9wWlxr6SjfE4RTVfVdEiKy
PsSNBogOKsmQgJCE8QFoBzsBtGfV7MDRXfP55IADQ0Km4SDALioGD8okVfpDCwYGUClJI27qwBN6
dU72yhEQV5g9NGKbj6x0yBSOutvmauQ64YcAfLX3nbMH4nUNlYX7DEvl9i/P9R9e52sB4RZNCSJD
3OWmN7vq3JBYLofaghFY3LSNXCsIh6YBXS+pRbHNNcfeGtoF1CTGE3LbtelaQji7btnX0iyHZazN
QUvqC6PoTU1ywq52KVSbQAETvRySS2SZZxNM5lTcJA0nLP37ajRipWAD4MPXBbHTvaVTNvbpbfJE
wq4KCVovMPIvw3JI28TkpEvaDP29n7f9qlc3ARCxZByT0oG+UGuwoyN4z8BKuu1suNYPVpDJxjQi
7jBCFJSN3Vw994K495u++7V8kHpjCKirDnRwDGxot1eHJrDbHsx1XFkz+2TEDNkdEK8Jzq3eup8c
uN7bKrhr7eAOCMTkFnBrh4H3OUK3EWZDy9sCW4CY//v7uPgJkVki2EMQyZ51cTfnoruxVqFXLzvr
Fh4Br2QPu0ZcC7A2f8VzfZuXkFxL8MBh1FPZE8CN4Z4plK/rHJvabcN7cq392mGDKJsVhZUw6U+r
ySddAwR008t4Lf2qNXqPI+g0hyaeQVEHIfpQlpDR/fdP/4dr4rX6q0+6Ke1GAh5N2bP1tQagUh8D
T/v5SGeDU/C//zP/cIhcK8EAnSpp0uKPYKmMijVlVT5sQOre9un876+lqUvhHMenV9XQFBIysFyN
4fdtH351dHct1hT0jPPBbIABNnpqC6vL206PayWYMjR2mrH5sHYLkIa1TAHFU/ttx8e1EixoXDf2
2c8HV+89mE/d25607Maf9Gq5gshD9xG9noORtch1v7U5JKm3yf4x1f/7TzqIIJyQpTlEOpoBpQTG
iJhwW3ITHNB///SS0n5OWm4OjZvqfGe6zyWS628raK41YEsS0HKeK3ls22H/vMdme2/j4d+i5P9h
KV2rwErifbJArHxgcwI/yuXUNmnybz3Cf/r0q7suCDdoVweljjRC63yNfo398PmmhZRerdIuSZMS
/AxxRM5X2WfrDnWiqwGvv+3jr9Zp0o9kBNddHZnRAwS47cbrR570g7xtrV7HfRkrAXUdjToqm2St
Su/7+MZy5lr8hSCuCRQ3fLSmOP4ueojhNkEiuVZ+gc/QlLWY1HG/RB91PqE5raW/bedNr5YpmJM1
qO4jLZDCdQIH8DXmt6UJkuukr5hBVES0pgWH/KEdokc6NB9uelX+H8kXYoTqmQy0ADteJ3fU9PBd
114vb7d9/lU7ajDJ1PYLQLd0TDZEqFNL7y9WvX/LE7wsxv9w073Wc4GZZqj0JT9qE9mTK9dVP4Np
dqHF60mU50qDL/bk9vL/43L9P/e9//SPXi1fEdJyWNupx91v8wP49X3TpwacUay6/liXG2h0QDoD
V5MNZMLZvrUBtPfz2Bte6yMu1i2YnWASr+FclyEqfxDiIbsbYkhau4y0Yfc+Q5FjpseOJ9I8rbb0
CT9vERUTGJl7X0VNFhPVEEDWnTAohEaOny5jCoDOH2auNTCltBONPpO9Q9xzEXChF1URptXPeRdI
u31ChJxfQTvugPhBzHdogDrNErVEnGYqIBq+OyWm44i+BwUcp3MGX0G/4AtaMQ5vJtW4DbSilX9p
o/Gf52Wia8Eh9yXZgifU5evq0wYE4WXjM2pkYocfI5q2Ysm2OYkTnzHJq/rb0NBO/dLVAtAPjJz7
OOsMaV9t+HoR6Z3MrkHlGxAaBQSqb2zSFQLGyfKwY2STHqK03Cz4m3jTVL5yH5gu0nVn8UMiVw5O
Llt2DV/YNIYTKAFDLrhZ+VMbL40s4oZ4YC8Fn1CFSS0LqRGAm21TxacB+s12rEFWVbg0ixwdEkCr
8c2mYRYg6nIB38ja3JVUoGzEXsL1co9fawRBepao7DKVgNNdLHpIv09O88IDAix+Lc0eyNHMI+ue
9xngxfcaBD3xTFxJQHkva7lURb/Do0KPCrhZJCLsXCz9ExwaEr+XaRqDL1fFu6qWY4xUY1RjOh73
7hQ42fzPSepmrPJxRTP4DNagVJ+TTWw25P1AQRKrZHSJgezBivURXCw7RFtI0BHLuhwCfstxPKcM
jbT0zLtB1lnHgRvmXT3kI9+8ntGSCJEFsn0EQPAhXiyAsTP2qGc+Vkv7edvSagAxdBlTYJkJs1s+
VjVNkRJbh77AvaaW36Qjw/igth1NoJrFyzZn3jg08zMlmUhRQTkHkGquGCHth6STMz8iYKXbHobU
J+hqxw7ZajvGzG6t4N2Kg+UOSk6OkLW4X36moAeG47wKaj4JphNZ1KVl7U/cfWSPRaPpuIIby0b7
3C1xxT9DnjXpYxsEbEKAa47sfmdR2j0mte/2383QjwscM3M00ucJi7Y+DKYO6dnopJ2+1JGWcYrt
ras4y4SmyjzHznXJTwpGpgxZWSld3Xm/ruweyGI6fm09DyxH5n0MN3rlCdC708h4/6t0vuqARJw6
+ZMRPpkvcJfvdY7pEs4u+DzG8ARVn5X4n8eI/hrbed3POjUhfO72OElyU2Ml/WopXvNT1aX7s1NA
vcfAuLYvcl4EP8SyMfXHqau3/dXD4JFGmEQjN0AWlyRifrbeDcNfHSY39UPLJxLuxrHty7spVcn8
sExKpADZE5p+kzyl6nfiu/IZFvLoHmOk/ResLToDNbUqKgQERcXW7NLfgyGx7ieEB5GvvWqoKkwP
p+MHEep+eE6qsknOfmyWcIimut1OKswxvxN86+IvMS+78mM9qQoE3+AiZCK2sbIw0WgOkN+6WzY/
2Xh38ZkYbvo3gDvK8WVhStTHuO5GUbitXbF3eibn+gj9dDI/TWrlv3pkAgx5ib6bf6m3eMZWUo+b
PwAy7uaqiDGtWh+6FgHHx7JaDOw1kVirz7W0ip61MYZnroxm/rOuwfjMq8F2rgUbOyljsIco8Njg
7lpQl30aR4WzQ5pkQ7978404hW9QsLhKEGe44Vs0UWXnrN0iOxyGSyRPhkC7vXuePIxpB2Zm/z2N
g+fAq1UDcjmBguBPKJeqPyWWsMjBKE51zgEYHr+ECXxGBBxpjcizjHT7Dg6sg0v2cwCfbi4B/HRi
w36/Gz+OWetwTHswVrvV/vLLStg7EBwzDoQOaTXqY49PufyQxi3zARBHTDoPg081y+D9HNhdrxLV
Hda1In3IqsTJ/cFvtkLXYgNZSp3iMqBGhJOtrs8WlLUo2+emiT5x1s1pUVO+RIWN10QVwEPv7fsc
76Q9rW736m7RY1QWk0/L8EgA73qNE9s2n9BFTkOXNX3v1BGp8ZW7Vx1uMM8BfSV5pF2D886VJZug
86b19gjafdvl4z4nLqdmFhF8C7MFdxjuud0mH13caZgxBurca7PFIj2NGBm3zyOS7popWwMFQAe5
4tkEXH1yToiy7oXZKRp+pM0m+0feE4t3bKh1X/8mvdzxJmhEttnDWMlmPeIv29oD0x21b7xb6/Le
Vk1LzjDR8v5pmVMwtw7YjnpeAJVEyj87opKRaW7rlp3s2FQVtM1wYOEdkchRuq/Bajcn02oCzXAK
DXF8sAbUw2x1YUg/4d+U72tSu+17j9B4eNJVWo80nxC/WOUR9qcy30qzfWpT7shJKgOvC3jwEKvq
dZbAn5vFASk3j36DgWQVSY6Bgqxf8XUZe9l8qJpTNKQUk6Om7KLls9b7ONxDulvvqIqGffuFU8MO
HTJS4zj5cJnUkDgn9ST2pz1WVFvsxHsoz7LFT4+gWQ7g2KPHhgwmM5nsfI5drdxpc1yxy8m91cgE
qPAYrc2cwiqPkVdX7YBPT40P4QNRW68ygMwkPwqqsb9lHfHt/BK7RE4/9tka2maA2m7sHCiJt2eK
t7/+2toNCBr8kWQsXzq0w/xH2eEh3u9pO2/FQBYG4O4Kh3mFh5vq9eB3IXyF4smNO37MuVqPq+8i
/SaS4PTrime23k8t9IMv7drUTU7berRfNyNS9k2nIsgLbhhB1QZPivTV7wGZqfErUuup+jEieaX7
PvVTl+J+hUBEkus2bcVJC2cD6rc6lnzMpmgJOAr7DccHqj1ExvKIrQIgZoJqB7JREf1EqnygeYxD
vT3vy9R9Fgve70MX+57nzbZj/qLFQL+wFLqInARZtjnuolSAiDiK5S7tBeNrRrZYT8+mnmpYjhPE
dx6NavvxiWjjgdTlcGD9aMfJbUeWNHR9SYZ4Rv4u5qzqM5WDr49rD1LO65TW5Ku0oLwUlpZoBcgm
cvw5DKYUx3huffqC+RMZPvadsPtD0g7TiA2TYm1AFg+hmrzrEKI6P5W6V2bLJaXVa4DyJcpButbr
R7v7CYZo+F5TnyPGsOxyoZLGvHQWPaas1lU/HUiAr7Y/wqKWHGRJhqGY4zLFL9HUffJEF3MhuXJ7
KX4k1L51lSu5srTQyxQnS9btW/jSyh6pSdmu4Vr8bGBuI++V5ePjPCyouPK6aqM8aZEKF3Ls7msm
PCfuS7og9uBUcW9w3ostRplOYOA1LguERu7c4CvEH5ZxcCJPGZ+KLtTLcNdtWOrfWDz79ZiCdp2A
TDIj8iyhDZEF6aEjzSxJ9qPCYeRdNrOytc8LpFNqyDXXon/sbBleZLgAUPd5Jw9Wyi4+SBBsNhyj
KDmKeafY9n2/RtW54wNzn0HlTtaPw7wkOQYNU/o99KVf89LX9IRyDdTMDi6aEVO3bN7a+lQ7g2AN
Cl81DluS77tTJhsBQ+KFm+P0VKEe+OK1IA8VopR0xoG0Bp09SXmFzFaTZuNIW34vfRV+U7h/2qcU
S0ff7a3d1dMUpfNr7BHxiisQcY8Vl+mO2imh8+saGSjJ3SZyDhv5E4YiMGsDXkqQRg4b8lOYZfo2
+qg6dGnLu0zrzT2sXa9eKo8E/aLDa5yzbfF5WpfNiVKqHhdehfsq2frvoVrbT4qA+N7E/EPPZv3G
WjWorIqNhexk6btuyra4Ud5mFardcAygx4UTX9PqnSdgZbs2SFXgdea53pd9Ow5zy+4D5Iv0zUdS
fKp6D9VCkbpBRKdSi9X3WYk3V8ImH+r4d+PK4N4Y4zxka6M3CSlnsvpQNJc8gHMfth2xKXJOggFZ
d5psintMQ8a2qPiaRPdrQuHGhq3Ux/dznZTq2UabdccVPv/4fed9ynMV6OoeFmpY9R2Vq54OzKVR
ejKNaehju609YK/VsPaZT8ws38nSm/hlIgsxB8Q0hAGRBJbX5zFaVf8tqsESbnMWGtYUsW1rly2s
QSmq3CKafO5Ro/isJBEhfRZYWJpfm2Rkely3cd1/AkrlUQ7VTjK83T3WFjNZC8NQe0CKTpnezbJv
2g9bgrv/YRwo0UcnsO8UuNFU4jxd5HeHSeiUvMBU07IH6GdJUiRqY+qcwDa1/dXAH6BfFuukifOg
qrW+t5MlMc8QKCIxY9wvzPEPuBqLFLdgSDb3B2t7i32hHoRPnozGkvzU4bLqv3WsU2cK3jYuyNqL
b4klXfRdY0qJa/I2MkAQ0YSuc7wdKJayclmxu9t52YpVV7P8wuHpd+/SY2//au2k0rZgYopwXpUD
i9ZP3O/tVmVRmgqSOVfOOlcl6dNnu8st/EVh9+9/zw3cbAfZgiT4MfT1phA4wMb5FYxn1m2HYUW6
651qonR85Vhl2BFjMk8S21O9CTQL6wG25lNL4tqfSFd3sS7oPqMEyHrOeYUY+BH3D1R87QR8vLnU
IsC4OP+hdfNc+TvVVd383ttoXI9jGzl1tlYtDL/YrvxcTGm/raCyM3iReA06+3fnu2k9mirWUa66
JXlopqrk+YRpsnsMbUsr/CSigRnQosuez2adUJROHHEy78uOlFwYpKfycazS6c6Xm/w4kTQ4VAds
381L6Ps+m4HrzGAKqxYCvphsx2PwkoW8AuF0Oe/E4oJWq0Vk1vkxMplbnLcfROJF/dcKtIk87F0c
1wX3l3M1qywYE6cSZfZjg2guvHUk0eS+bIFMfTBVGL8oiYdQEOdo0mdxA93Au+33NkKVGuLobtvx
Xt+hDkjEvcMR0P7wnjR3uAIk6tuIiHNR50xVcfPRrKyuEQmdaN4sGV4yRnKJXTXgNhfBOLeLOmme
ZevjPZ+x4N+6hOlDXzZ8wFIrl/sxRgfjCf0Kwl7lsPHu3q+z+olOzFeUHi7lQKpwSMBHMGLSj0Na
ld+RZ9E2RaWxKTbt3D05F6My2xEw4s+9kHVu9gDgCPT/8akRM+mfJkds/zSXi31YjBnbHwBEuz/R
1FlbbEuEn5Fu4r1b6GW400mc7Rv17xy1hCuqfUKtDl2T27LeC32EWVnxrDW+Qm2AUeUK2J3c0K/F
TmjR33Hts4cdAQRGeen0wPg9v3coxrKUQYF+Ritd2UcyySl6JQIiPoiCxFCt55VXlevxoywhtnB0
l21z2GIiW3FoJW8+VBPY8IcENofpr21NuzWPanSuviOrAYDamUlLD0OdhhSvZpN+mhvcR+7C0Nos
bbGBmmxdZlDsqnSpf0mmbfpO/FKvedA2wW1H0H7dsnaVffStaZLyp7yUJie5wWX+Frj547reUZS7
akpQzGraLScFJojMFZ/1n5FhyWYSyI4cWJCYHnpF5f80/zqy4yEEeUC+ZUlxlQFU/bilwouvpooU
/MeNKtEZjJRGMpI1iCgoUJRof8/4OP7q+40k2Odo3Q7vSGpTbZ7OtSen1tHwG1fnan+Y+7T8o+t+
Vwz877Cmj7r2dHqLypizPwmQGew3rpY1OiNtxR7VOHfYO+I65GmVTP51VqUwsBphtkQrXsWvTcQ5
utkoPeIH5hEoelTrzNNic3tMDitf7Zr1etk+IRM5oV/MrNYPUUTtF1mK5A0CCrffjSXcIqdoxMV4
6/W2HjiVCPTd29V8wTPvHoakg6yNtwBwI+OEjuexVmrKmRm0z0xUdl/h1N2yicHlYwz1/GHeTPQq
uN+euNpreRxLRC8ceha2uwlYibvE9PGZApOMPW8g9r1WFQsvphrhHl5X5P1kbFpK98kviHj9jgAR
XM5s8LT+itYwERlfA55D6tsW24IiCRlRcQj4j2Xs3uqNo0gkaCVUFaqMlkWIhxV7VMyQwbMDkxX6
Jh54dXBKxLw3d6mJzTvi19vuYypHmMA3EBg+NvgiGWnWxCw5tu3gfDajN0ZeTFcLmhODr/M2jqUf
j+1UtnWeUmH8z4vW9TwOvdYPmxB7j3+ji+zHLqG+fyGV8CjYQkOOUppoPEFCKfwHtKKHA7aJYTjO
jLW2SOu1TyCXAxj2MPoYmwjyMe7xW6AdURo2Gly3PUTLawjuo43qds0HtiT9fRSter9D/Nj+O2LA
JmU90JAP1T5uWD6lxOPofHzoFF3yaXL+nowJCs66GR6CqdlHqJcnOASQ74g+B4IaCBXl12iHnPwo
4ZAJb+gzbSsOIhsnv52cq1SAgdPtaA/YfjHDecCEovle75PVOX4pGN5lV6Myx47Zrzqvp9Igvxzh
ReoJEWlS5Mpzs5y3kU7yTgDLDTRquXLZZBFD7OHRK3JZhFG7VhXoihNuTNh8uqLdrfJnB1OGytJx
cz2WMeZdfxacneXZzC6uihWJ2jGUmDqlyftIUaEVq1dznQu6cnh9HA/de8MRU1PEyJtvvvZoaNBM
D0tdv8Xbjt2jiiKe3HORaJZrlfZpMaIbtubjsKK1lcEEtVVFCxda/ELNNMsPAII0axaQAm0OSyjZ
mIV0p6hglEncr2gGVSFjsHqoD2DZrOKuDsaLXxx/lP9iUaDyR2aTXuS0F1362lc+RmiywaWgbqzW
HwMM/N0xbW2sQ8Zgtl/RwKyHvcJF3aHlgJd6Q1EIbHo5gXWtbPlUj3GznxMab8OTMujTZtwQj7x0
U89/Ykaa+jndywHinjLuhtMi1yh9hcFOcKypmewe858hmCP4jX4+Qi5mdI6pClt+Dl7bCIDE3clz
1KOd8jXu9eUX4rj4FMmsTAvXIi5g+nlB/7DL4a9wdsmQxZKkDzFPGS6XzEXDqYHOYv3p06BsUXJe
ujuP/doXMzOmO/SEyKlIQaRxXTbNOtRH3AZ79VBSxK9BfNlf8GCgpY1FWzdquy9dLGQOn0ilWIEk
hhgLqik15tkYhY7VPV83sqNmcYae0CQYMa2fUNtl6MMmXQZn4d4WE16D/ki3JZn+iIZ1fYS7Q0Id
Ae8WISZ/mU738HN1mJA5HKYadSLNo35Wdzw1adjOXSKJfEdmtHaPHlf7zeAPb2hLUYNsZHxhoum3
LxH+GhVldeLIuBwvada4kK5yX+nzcrlBP5TR2G0ovqCXRcBUKKvqJejE4rIyL4RjgdMOPSuRY9bC
cFuNrVbDrybgdg2BXBA6/jO7NZpQDAiGC9PoYLddQasZ53urxkW+MGweFUpF2e6/uxrTiO9t68fu
SCs6RB5P15ABLGY+Nx8oyn2s5VQJyo4GpdH0pzaUeZm5RCGt2Qu6yM8J+nMN8C/o/7ufaqZL926i
ZYxexwoDnw/r5aKKxIIg+zQX64RcY9jmzNyfa425F14SashxFrj48AM4isv0AAdgxXy+Y4Y04qbb
zKIRRcy4kw/eYJL0iOpa8keURdR+Gvq2m+9FRfx4jhaw0r+TOC7jnF9qtuMy6mjJepH66HGMkU71
IVrs0mCPQwx9rlAZD4ewaDk/N9bB6KJZLNbPew9dYC5jiyFPQ/oBETNzFblfkltTfibeYvMfwDdo
1/0+2oHvRsmKXMP+7E1FAuopIK7zRGxuOYVxUOQ0o8vu7/qO7/E7uoqM3TcdJoG5iTUEAAcYT+NZ
Fng3d/S2Lh216DjNabrkhOs2yrDmnrixgWLWyBCPcYwTSKunYxMlmPfwASOekPVArMksTJthxVwL
Rk9uW9R+MnSL4gGRbqlfFHp6FVhp46KS9pEls7XvzCJV/Y+o6KIfUdg24tizelGfvMdopugr2VZw
J0KQ9toMQ88fyqofuk9e4sE8hFR29j5egNR5WvFdUxDNw85e20Xo6n5rZ9W94aLXlGseL6iWp6Id
pUbbmiKjrYnzBYvZRDmyP3gwBeaAQqpjBzngJcJYfEOCYWyTXCkEYOqDxijILmcUYDMerBOtmV9x
Tg9oPEOMg1EaajcVPhE8dpirFKu7/Q3Tk3I7rljJR7Xv4hGXaB49pFGpUNjxGOl16WWMJ9O7uOXc
3HWtmNjj3o+w6CZpGN033ywKoRXdguiQo6vMFuos8ZwJzDhTiK7iyco152hs2O96RWT964jYBZse
L1GvCXoaGwPcXc67Wttcae+7Iuj5QpRzlj+zuaTDmcJc7k/TYBZSVGsww2NqkVODFmmMeesYZrEc
GzTxkyyySRIdMaN0TdHLSuHaaSZrUCER3ZAfmwBF/qHcq3b7iEgG6tB7r8t5/00GRqqfphvj/hwT
WB3PMbq+0xPs5bP73COSGrXNwOj2mNDIhr/CxFrzGEIVWTT4tlTmu0I5kqG/vGC20lgLsd/k6NMS
a+tzFwAOPc/4Cm2x7Gna5dDGc8zMKb1oVFd5VJAHP/cryMBvse8q+zS7PRnuBbB3++XXFiW8DsoF
kOGtoO1PtPkiUrRMRsYirBX3mdwOeNv1AZV1hwMSG+nlmu9n419UNK8kD1GUzFgscpphlzDs8gSV
QbsKlcTM1IsVax/Bl96I5vdyOR9/iwU+e8QbsOo8jSokWYz9rv9E5jl1WHsV05PLjLQw+qPFBFCU
qOMmLkjKIshrSDWVz2ktnD9iG0UW4toPzfrHtZvZHsddaPZl3hZOcXmZ2uU+BLFvX6TQZn25ZDiS
k9VLmWmE3UwZqtHq0iw324ozFwPMVxmCEve2htPgGYMSjQwG1MY7WltTh64VA7iSMvcDxtVJZjAW
pf6wcdOhazdP9UfIJBJURCugzB9bKBtxLoKxgexGtcpSvQsTK8i1hxjzrPVuKOdpdFkDvx/NRgkd
Ackx+56XP2gkVWjeomETux/oVuxNlHGH8rXNGHZZhx5iP8LtkSGkHvfO4wZ7KOBAw0Z5/Q0O67DM
2eIBsZnu9OpY0+Z+Qn446tCYbywpZlJDylH8Hzs7xPNGTN5hUkVcHkMRZLNIuqnMEZRM3gj+7+hh
9XVlzqq+9H4rXL83c9kzafkypnY+oFuwL1AqR2V0/j/lssVbsLQ/Iah724qYt+OS7aFmLxhYDUvB
S5i/b1MwXScL8UAHPQ62P8Tqa0s/8/V4mwboIrD7387InqwY1+BzSfNRomnRsBstNNdxQiPSGlXZ
CHHEMRmjiaTW+Mlit7b/4uH9h8AqjAz+/tXRCksdFGmYTERYf1M9Nu5B+2hEBqKdDRpO6doCCyDU
lL5uFq1bXLDaKM7HaMPv9N8f30VV9J/URlfCsv/L3pktSW5c2fZXZHxHNSZ3AG1NPQCIOXKe8wWW
I+Z5xtffFcmSxKrbFFtt/dJmbZRRVsyKyBgA9+P7rL1PSItmipXGWpdMM838GGfIGfBg7VGv0X6k
F2f/SdLAH8FUP7GgTd1yqRmGXBMIUFs33VwGvV+F1Ln+yM5EOimJJBlV6TQXf/IJ/wFk+XM6UQIf
xm6ii7W0mcnRETuzqtGa/+QN/dGz/0SfVUz0a63IEZAj+WvaaPejXQV/gov/0XP/hIdSptd5FQZi
PTP2w42aeRf3mfHffPKfCLNO07qi7KVYo0GvaKTGbqChPP7zC+qPXvlPeGgwDXEnnFiuQ1Vp2dOH
wNUidv//3rOffuvv7nY9rQzoID4XfcnJ5u0cpkwu5c0/f/I/uEJ/jiaSjZaP1ZRwuUSWo7+3aEqj
p8pZZ66QreeVW/XQ2FucQqL6b43nM37Os4nscLSIERJrxqGKB7Nu2vNEQ17952/oa3H9T+7un9Ns
rGQ2kIVCc53bToQC7RTzSHOFfz5mrZP3JpU3/6UwtUJu4iq5TZb4VuNKE9ugjfuIs0oYrZjO+D4N
BqOb3c6iJPvt1f3b2/Tv4Ud5+dvraP/6H/z5raw47IdR99Mf/3pb5vzvP06P+fvf+fERf918lOcv
+Uf781/64TE87/ff6790Lz/8YUVd3s1X/UczX3+0fdZ9PT+v8PQ3/6s//MvH17PcztXHr7+8vOdx
4XPoaeK37pfvP9q9//oLdCFtkpM75d9+/0u+/43Tu/j1F/8ji+L//EEfL2336y+W9c0gt0oT0qa2
P/3/L38ZP75+Ir8BYBDxY2mOzgwxm0W7YPJp9Osvuv0NGcIAkdEc9Av0gl/+0pb99x+Zqs6jVGlo
Gs+o//K3F/fDd/SP7+wvRZ9flnHRtb/+8hWg9Y9Lijdn65bumKYmcVnSCPlpOY8LAZzm0BaJG5Rs
oJWahu4Qjo/R0A0XgIK3vdIo14XRURLT8K4OAC4QDfCpKSVpkj3laTO8UFXFuyB1GAieSUFPlwHv
SArdOgYYu5qkOl3z9BHF31hdhoi8H5xBXse+hXdcHIbQJShfsjTLy8oZg9tapz/KWbB9MEozfylt
grEVRGW3DdL0ci7FdVpmw4GASFArQ473RiLVlZosgRvSpPEdgIubsnQekddMTxshMou0nlZSUcaN
WsARTroe+21bUbTN9Y2aG9EJ1C1xTXTOdTUpqd/3XX1j5kRotyG1eDgygtxuOrGFYqk39DvGBzZX
kBs9yD5Rz4vjYITRqy3zGnmi7V77wm5vk17PSe0PoCNMiY/XHAwr9pN8UjT6U4H2nCZI4Mw47zle
2c5x1CBmPCLDS04B9DuemQASEwHjCDN2QWfVp1KzHFcNqhGADI9p6TaDOBMdgzfc2Urte1vJ2kNU
azl1hr1UA5bqklCer4v8f/pmP4vfgETLz+7nu/2HBeJ/05Jgqif3yx+vB9s4f3mLXrK/XDYv7x9t
9MPS8NuDv68LzjdVpVHN3aebtgqr8/d1QXyjHrdNDcOnyZd5+sn3dcEwvulCaNDPyAO6rp/iD76v
C4b6zSARwnYMqcG+nn70L6wLuvFjJcnCQLi8o6mChFedmvZnByAjyJeKNEubI1PA6mm1M0c3Rynp
isz1G2phQ9M4cu7xONobqYw5CmTQAV0nwU4neOldbZZiCyiIsKx3F33u5Bsz75LnrEkpUxfJNjR1
af1Wd/TFHDrqHDzn8FwJ2umabU5Z0yQPESDirnlnLsW8Aeuyrjk5xeMqUivzLchKSDzC/cGGFFx4
Tn8WJ2Z2MDnw+T043q5eCDOSMekWdPzXceVcwHPX2wok+lESz/+enrr9bgQosGmUoF8bhQaknSWM
HA9jM3j+ao8ubaL7QjK0cWmZ6MEqOm9mXT1lTta9H+rZmTPH9oUB9bKa9aTclpGq+fXcS3esTfqf
fQtACxq9chK6txACct4ESG2LuwRxdTcsZfkR1zGUpqoY+9rub5dWdR70pbVpT9YmuiSDCfhUS4JR
7Lg8RULRDLBWQYQE5c55MhBUPE9eV+rpY0vvcm/YU7cvUv2tCfLhLEjj+MiZoF3Hlt3e4AGIdtBN
lkdiEuJwiAXgleAe5UEPQvtQx615DO02eOWIDso2tUL5HGbZneWzPTyWiZ6f8YXzPll13OBEmQvV
PB9FgMfdskXpzWQ+rwLV/pzMtPCljGD/MlwX+zqt6LRnxtuYj3noLpmN2kPkF9MdpMkHpRSsuHqy
zpbA8UHc1ccBtpKFMqu3jhhKv+pT7cyIonZb6Uhso8HcBA4FlpuEnXABp4fqxEknB6EE9yhRoy9i
Lb811axzObfT8V8i42maq3Tb0xDzBtPKL4BDE8tr7Gik+9bBfesjPWMGxo6ppdOKk80qF9GHzkcS
uHFRiXNNGxK4fhssK1CPVafmR8wGzruozPBuGrSQw7mR38+Tnu3tKJC3Y1HUuFEnpz7ShWBCRKXq
V21toFYqjnIy7Zj4Gcymr95bs71wYMg9rQ+rNTCxfr4YM9T5KKfzaMp6oDOdqzZWneyOxCK99ifJ
uAkl5zNDe1J9BbrsGRtmeVBoxV0zYsQ6LHFlQzSoDZBe8l6brSs1+IJqtmi6V2x8aS4Gt1HCg2jm
xB9FGm2mIC7uNHt2ziPeXefBlyxMEqc7xyk3Cc+7Ug0vjUUz/S4yjIi7DLOBW4D5b1pjHJggo85e
Pyeah0BUvNkLdB2svlJvFdGY62ZCWpqa9JLN7q3Vpr2dghUq6ujraqesAUrPclSdLSIXaJ0qb6Ov
/LwCnr6AzoLBkor/u7X6e3n0+3Loyyf5QznEyqmarNOa0BwWYZbe3x9MAoueZdmyHKCCA/MMArcO
jV+iPLkci+o4ZeVpRKm+OsER2ZRRNpRocOcms23pnwRFf+iWYfxkXHnvF1GRHRyqgtyLdSUFPzGK
x7LGK9xaTHxfSSMy81UH9Ba43byk18wL4X5Ov+5tI2oNc1dwX0Dan9aFEfZp9sbBQMeHjEz/JHnJ
+oq9+P171wwKQXYeQ1imZPP5SUOga0e1mIbqRhPhjQPEZeWpcaPY07NqqskXz+kJK6yPFvYA0GC+
47U9TBVXA2GzFrw5FsuVWKISUGsJpg0tfxpdSTZ8pEYPDZ9DoFn1uDWnbFcbSz15et882+BlZcQY
P1G0e/qQtpem8VtdT6XHtZVfTgzM2mmqU/vZnPV7R2ujvV7jdPNa4g1XaZMau2JoDOmpqdqt+Bx1
2MM08UEE4o1wpvyS6HznubTT4nkekIBGmRWvem705wLd5jwLgf2jkXzisgOIKBXarDI3gss5j4dr
/mitm4VGSqIZEfN6x4V53R24D3Gum7GvoAzkaBx1e5x3YQR9gS7XBeuw08ObGRV2cMclbD1e9ugZ
SRqtUwYmb5pRSOT/bKEHmKIzQ/DEKzjz5r4D+fFDw6nuEyNhEDZ2nE/JUDL/FN126EdgEvoeCa2j
LJRe3+riXumEfsEMAuXGQKnfEvvLxLXFVsuPOimne6mU8l7QhLmMghrKKxXDXl1ybWtA+x2DWm22
+oBPgb5MN0S2b3FIAWBpp861em260sdxvJrGPGWUW9HXHAO0eBOZQ8E3ApjGKLnmptczx1P1hUzz
UtNfaXQFtyVAheMF2V0EKm14DLYhxKYjOvw5V6vxbDH07rhwHtowQhPLTkijK2d28dqWWXy0xAzX
11g2HTON7qAb5mBFajNUR1iE4KJVxupKQrDUm0kL563IZeYL0yhWTTP2K2dY0st+jMoziTbmRy2t
wTw0qv0kLecq0lhFsjqgXLF2CskPREhfzHp0k3Fuqccs3yjhfDa1UtkktjViY7FoDbNUtac1K5Ss
XsFpHTNCLbrKF0X5tE8r3HBa62iUArs2umsiobhIpWKzfC2M/dciyUph+v1p5WxOayhGE9aZLNYX
FgJ8Sp5+Wm/n08o7ndbgRjenfTGWrLmVXs+PxanDoI8zK7pW1teDVZcH/Dz9sxil6peZZfkpA2HX
+dfGkJz2COu0W2iZ1mHSOu0hdZjGytbSlyL2uq8tSHWqKHQdBRCESLDaup2xNl20WG8CfzrtaxwO
jc61S2iZTavazV4ZqmrdnvbJvkkWP/naQYsqtF/HKhFsFVzTBvtUXB2qLB9YQxn1sQXHGTdY10DH
mq8tfVFbvlhaCpFfCLwPGn5MyOOWr8j6qhrmUwGhUEksp5LC/iouUjkmHiGiwscTZp6rlI+BwxBG
mUdd4QaZba8CpZ8OeaZVfuYoDHAQBWbBIs83WHEin8ipZJf0vQ5qakcmmXOOibOvJAPIgdE9E3qb
7Ax8ZmdJmOsPUSnN864V9nUxa0HuNm3UrvWocT5qaOTLKRvFG9z6cBm3c3ynkOp3Exjx1OJr6q1d
hxwKd9Iok5+rZnzBiZ+uchxHxjn5Hf22AYE7o6abY9YNWoUuO5S4zGFW9lVQ5eddT46xW41W8zo1
w6Mqq8p3bGWOvNRQxRryRQMKHKJbK+SNJ5wadg0GhNGNEjncho7dzm7VCmNlpKZyKZbS2FlyMm8A
veTlhI/Oo0nE9YEb8LYqe5qBpUrH2lDipCOTNSoKNxps+OATLJQ5U9LSny3ClQQ42VJYqq+Ts/Rv
RH5XfMZLGocUpKGxHkfclS40qFVj9eFjpGkuaDryiXsZFP7eooVzGHGQ7J16GLd5Mk37xFJQzcy4
wfdVy/AqDhX1SZvsyyXsplvQ6tybSiXbxEUQ76NFaxlybNryCpNd+pwYkpA/VRWGazR59xqKIXyu
4DJWKmDdCodRsOGvvDI1J4Dh08Wqywt5wEfOxa9YgDYlo3OuFBwVbkGTu6ULRRWIvUqalzFvI0iT
whOMMLFLDF1lsnwAWCqT25Ux5CsFgOJXoJRrm5iElcCi/Vi2qbkf5rY/g0YZ+RysfjXGtJTKxCJw
V49S3kBh1yuAimlF9qfkpC/3jmp+5qPzOpMPv2EDyzggBWWBTVPY3O203t0iqcPrKMd0x8pDYR2k
6j08ry/TMr/XzEp/NGut3w6w1w8j4NVD0KrNR8r97jtKwpjlbnkuHPXekNhp3ISpnTthlme6HC8S
B3R4aqfe66dJrlKbvYLbKmrLlTpMjuH1TinVQ1OZ1Q6ql303SMUe8N3YLl2VrLRGzE+xwnWqLqZ+
mEaFBkEkgzcdT+MmZFra6MGZUNYvhJq449Qv3hSZ730fBYTV18qaOZD6kWTt+FDhW5sPfaGU15Lc
v9uI88vkxWBRH0NaUS4aNEyP4MisNtjKkpuiGmXrws7ypvI0X1uJyUzG0hCUxrR+uBOFjH3LaSTP
OsQvWTyYwJ9Vs9djGu+JDQgIwR7sRhhg8MCxAzA1qxmulrhUk+PIRSrbCPO+taxGYkI3VUCvU8eV
i9MmnXeT4+ibWPD7JzWzHnMqwXgVLLNzBr4yk7ZglGtD663nqI41BqTHkNtkm/Vuns3ctc2sSo6h
UUI3tmx3SdY+OUF/tljq50nSXA1aoL2AvVgXTh2wPVa3TLMwMXYh1l7rYTPnmzGOl/eENADXiOz7
vGO0gMLQCH/RC82H7B2B6OrWnSNj2oAqJH48Zep9F061cMkljfy6GRqWpAHw1tSrq4p2Kk5O1eH6
Jh6iu0WeWG5h2yommZNuBv4hjmoaITWVvOfLrCj1M4wPgasEoTwzzFC/6kdSy3yza5jr4liOciPY
qi8NrRg/zfQ1aJlwP1aTZAbcEskLhTbjtolTyiKlOANAck21ln7TZkQzQcFsAJ1rVhGdM8aE4zAX
77MEWgIPK2AZlTkrvBHZ1a+G4NiNyXJOQXjo9OEcE/GjnT6Xy/WMX0c3O1S4Qk8+ExGep2kOC9hU
6pUlgvqJ64vNS87dBeBweMhA0h6ZhYedKwbkEJ7CPrtxuKOfFtGOdzJ3jCc4M/EATVp70BzmrlXU
ZM9OQLBGFiieHSUaAEeWrwoFkiBJwl3XJLHrAP24OLmjqzip5PWMDfJZRNVCVzjMdxhuAm9JJOMb
ilRkW9tuxMJ+ak0EyFL1VgWgo0fmXLQNTZHvshNZSXrQ4i2KM93oPcNmhVIumzmzzPVklcnWLAUH
2YhKFqvOvBpibdpSQ+IMMZFaTTJ11OBSZEW1M+t+WjNb2sQRo0V3Dc6jzaB3wgPrqLe22TjbMMvo
SZQxTEEcqP2a16D7NZkKq6Hqksd6mEXodhPAKo2Y67BgEXXbUlnWw2nDtSG8N5qW3mXKzBBJXKeb
NKgoyNJoWfdWwpmfgdS3TgPGt/QV0emsGejAc0aiS1xiMe4yZcQu06bcgWmhsmCT4QOm0nNn8VJK
r3NyHjF00K9zUBj3cxG3nmIu1lsVFsY2SlkhAiNv/baTM7dKnG8ZbcNrLorG1ew0wUdcspqNYz16
YSr8uU+DA+kswVlB7n/hRK8CYSZJ1V1Y8ogoODDhN3X1dDJOGXqPHRl6xAdAp2ZimfcofIVP+XDN
udzTnWzksyXWzJVKkJ9F+Aq9fMSfh06wrOJJRByTYouzuZ1mhwjfOx9BgAu6KbX3pR8SCoa2+IyC
cXLxHsQ725gVr1YCrQIU7so9YxvSdz0r01OEQnNiKvTg2sR7c1ZQaF9yVukOJvkHO3WG+XIFKPR9
opiD14Vx9ZRD23h6lZWHBBaX81+VbKtRtbeqQRa/OTT1sTCKdtvGo1cBj6hTYmUudu9lvVgJYSGd
Ztx1HNcuOyWJ3GKwoBdytI/IUV0itjGpJOmh1MV+arezzefZF85TW+NnINbhWi8GZ5OMVnIv1czc
1WmWHS1s7T0ypNgFY3IZIv//WRdd/7HraZmno7AwIZg0S3V09ec5CWNSMITKNGxmaJHeJrCbveHd
lCjworAd12k4/xrZFN6GkjhqvCPOWPpRVClXGYNRXqW1VM0qM0HL5zhZIDhOeiWaDk4mcjMxymnR
YiouSaoonKrsgWntCYFwLqW9j4mVr9yWE6LyW7v1f1q1/1+kxzP5RP+dxHPqAf7QnmMVe2l+r8H/
9oDfJHjb/gZiLeAcdVXXUNy5DH5rzdkGTTv+swSRFt+bdn9rzVnfhI4c6WgI41LHUvx3CV43v/GI
kwR/KjItNIl/RYJn4MkPMIdl6qpt0+PTTDZDh6fknf5ejKpJbG8LJzcoMTTzNgnNxe/nqNgD37f+
kEz9ZmCAQ5TmE+0s236KrTw/6rSSarfjX+amcDQJJW2mD0kUxefFsMgzzSmIvOFMHDlui4sDx1Aj
JWLzCJw20r07BmlUMjW8qwumu81yE5LI8EDboeQQZnUPEbshNTqH9wtpKdOlaocYFZCoPLMGrmVt
0PecVPTrvh3rg9kW5X7WWosStuh2Ie6Gydd0xXhQ5KKbh6prk0OSOUbrxrZZ3KYxkvQujU3loCb8
Io+bbyDfVA6SRJE8uJvKBMJKKOIgnXJ4BgQhDiRRsHV4tTXH97i71LtAzKOzBlvjuQ2KEm7WBIwh
zBb93QkD7F5k7JT7pgUpFxBq5ycHNxPS4GWPap7ggWhKxprnpZVj0pVGc6VUBBS4eR/PV8RSJOsB
PzQLqJkOrpr2Eav9IPL+Iuzm/pOoH+Ua012AWykOxpcKvxXpI0ow4HGne4KKmwp6rSo5MuuAsRsS
u9+QXrXLPO8kuQzrfgZed4sar0o6oohUvVUeCUkRu0TTQmZloGByxE+crd6LhgFvxmfUZRxRZCSA
aIvMbLaJkta9W7Lc2N7UqXy7oK56ii6Ux8+EBaR428l5YegcJ3lLs25EqVrrwTCa97nL4phPI+g3
vZIYb1WqjU9aN8i9UiUoxBwFrqQ963ejWTRneAYT4UWzaimUt2qirNihOXCnZoLuZSVS7PsQG06W
Ts4FuTjVqhZpEXosc/l+Zm4sUVXJuBd4yK4WgVZtJMq40lgVn3PMIrdMIeluTJUpVlvmHqlX8aIA
vdq6UPG9i8k5V6UTXVRSJVKHBmh3JhrbOIra0neqRtfYDYKy39GE0XPEaT5SGOI032qKk3DA7EfK
BmeYjsHY3uTqEjxTa6R7JTXNJ6vJ5cGinNyGeqPzMZWac96wWquusOjuEmtR0+4oYDYhNx12SFeW
rbWsNQzQhWu3i7Frh5aJI4ZsdUJRh+YaLW7BcZKs1DFWfFHVz1WVB3gDytyvKezva7OZKK/KvTr1
CrPYg9IXs3nRpYQsWILMMwchJ2jMh4CDRd7r7bosrUaebH5HBNzxHafCm6Y09Xkumxuk2U8nbgMv
MLAbOCiNVdUixZnjRV6HvkXHAgP6ybuvy3UZyz6/CETOVS8ta5LrEcC1wDHQIlmY08xRt102ExFU
nWsmvdg3lLqjaowsCHnE0XLp8qONvLziNhzuCnDiM0Ul3wN/EqPCTHDlq04GQYjV4DSrbVEVmi6h
MtnPfYI+63bopwOXaxi9pRxPsekiaEyrktQWZ28vUxRtjJ4Px7VEpmCPtkdeJA9CaiiNsAu4E8Ze
OY6iwwwz2lb6HhtFj0UAXyVBl4LLops2eF7MjTqY6soMazI6OMt5w6iqmzw085joiCC4s/hovb4D
aB4rjCkAyHnjpxFZVVDUYb0qkq5fYz1dzoA91Rs7aZZnmygBw9XjZjhgkCx3gKjpZaDbwRpZIP6s
4jHoMGGQouCSQsO07hm3LbIBpduik6BVME/2qTIzdVsjchEigZyyRQvE40AYBzEhraWfNRLnsZE6
8dapw+bR1BuObc2MbTYAS82rsqPyKIYbNdOaR4Uorr2V1zMuk8SyNm0P5svn314midoPkIhm/xpO
Bdyl7mwZB3vQ0nQ+EnKSPTZ62B7CkKn0S6rc9NWQ7pLCTq9h28MLSZDOBU2NfGMXhXFZF8cq7nb5
MMyXahfHPvbj4c5xjGENLVtwfJysereklXKutoVaHQyuposRb8QxiVjhvRRMf4+P7ClAXH+ymD50
X8d9ecbHnF7l6WI+d6KAAqlBtCuvBq++CEkwOjLIAO8zx8bWT5AcV7SsHQ+tTj+L8qVY/DFAVzed
/pDNC0X4wtRelzbWoVEGnFhOxle3jGTwZ0u+3ARLByQWkHPwYDsU73MFPJlHprG3MlJ03J6euNfK
hAYa1q+dRsw0eRN0pG8yfMPr/vS7rTg2LjuY0HWYp/NW1yr5po3RvJFByNJn5/rsGUVWYNXQJvys
KNbK0WpDgunNMNsMI9t91dT4gDRJFkw6XkdOezpBKYwcs4lj2DnLHJInFlVeHATZg8JM5ruOWva4
GCrru2bV+r4yA0roIjK0Xaga7+2spr5KANMr4ayMm1nKpLoj0YCQK5PSo/CdurGOU2UnZ3Q5Z9tt
WVtFlL/Q5oq5jNPkPDGb8MKoWvykwRJQtyNQpc8w/pDOJI0YymoOi/LKMm2t2411vNyWkA/0+EsC
z9S2kfew3sMdw3Pem77kOBoHLY7XMDMuLKcNPwDUw3UhTxLurE94sFviFRig6UDtZIZ+nzTWeGux
1LwEE+MqvQKqloC1VMUUYSWiurPmJPsgJCX1mD+Y+cguWDZBzp+iBFpi2yS1cdHVFew4i+gUouPb
JYn3SyWGRycIX3HIbLm16H/jb13lpMO5ZFxsi1q7URe+5zkpx/0MBy8yWbsqoLtn9+OyKxJEKtz9
3CRb5vqKw0R38mYoiKtX2l4ni9Hpdhz9KToEHdBXknjOCbjji4JI3OmcYzZ1wmZKF01JfMIKMrRw
fbwKA65pevlsrbnhEAgYjHdkIhFMuzB8i+yo5pID/XSXYnRG9nOEm2YFckCbmSurFMqtPVmryURX
JlTDvhpbQo+akc50bMTJgzaTSzY0ZKU3Q1G9kzORbsaUSKmQcmuLy9955OQ3XwSaLN+BOKb1SGhK
4o44wW8aE4oCnZvCRG+3eLyjY1T285q0ovqZDPDlMGml/MSYSs5YIC4qlL9DrrDdF3qtvc7FzKSH
GK2aaKGhPXWOByU+ZLheyBRs0+kzCNTxuMxJGPsTg7DOZ9mwkIxT+UrmkL4alRbnJ1bODRxBfCnJ
o1uTDeasrU5L10tiVWd94CgbBhfmnhaYkumO03sul/aSVLzz3ja6rUYohz9rRCTaHSNyrVmmx7rj
MDf345GiE0jLKcyLbNCzbVCxrJNQwtgbZk2pVnycO6BKvM+V5lxYYdiu87I7JWOFsXWNVlAZXl2p
2pqO9YE1Ecu3niXRbV6zrrrlPNF5Ucc+oYxw6uVgEY2wZgq3cm2rRB89YV23rf0ACLNBJCdctioz
85MiC1uvMHLtnk2KrtfYaR+WGMN6v9A2qU8CgfM+9LamrZeG3ag1h5E+rrAIZ+iXM7VVzki/FdcU
k/M+cTiNG2qbMhk0dqjmyChw6YvEMzl8Gl2ZsRHGbZZq4ZZgspaS0gn8sUsOhqjkOStCtxKIPEcZ
6gPm5NCIHyGpaYPmCrHD1JnLedMRO+9WKu6mjMr6piSe58j9KnpqL9IJmnoerlKFTCbANWmfmYrW
0SiSxaJjzDRVnzgKrfEnrchuFk3qRCejfD8VaZQfjZYUO+8k4p8bJRUKySooNhSrTA6JQlleIqMI
6bV5G0gX11e8eCkYwbIKFxWjPRJT9IBkqR2aCpGKZEBT2YcWJYbZt7syzfLzARdeRhRbfqYP0rpi
IKCJMmwx48JL8iJ/x+msvYZVb+MDT62nPtL6nW07WPAgjtLSI4YojbygwJ2B5dUG/SsYy+0rZaXV
6MGjfUtGE2EnTdrMq8m2LDDoUyBZLYjHcDKIEIbD+ErkaN6cBM2GVeuFhmLnOjpu0Mg2o012sgpN
cbdhGvClXovPWhvCbVCUym5KAgZq5spOraKtKeLzpcROPMgq9zNQmRt1bIhmI2RwEwhGI6WMXPIy
kyltpyOGZeVIe6jy+L+LktqQV7KXovhEIcJbECpbXU4qRCUFN0fkU7qao5CHGD04zZh5OFduSdCe
6TmGdwplh8txcFw3SXfB6Zx8yNE+M/S2ph+mbI2YNCgOI69KYBxTkZAAIE4OLNw3+E+fIZoOocrR
TLRY6TpiCX2im2Y3LaNuZ6WIjPmooQLLYPGDODfwxA4dY8d6XufAMAKJMOONEBckrBD5Mr3kQ+23
fbQlQiHymUp8sfRWegmsw9zaSF3OuPfMDc1rSM3RYUjaODcElYLIobq14XVQ2enGxKfuhTVBmLXa
k2lqxrTtlKowCA1uU4pSZR5oSovgCpu0FnhkQM0GnE9v164FuXWUc5/EXp/x+dpNZhHcpGA2N8xh
aypWcN9rev/IhPsq8aIo48CSdDI+TO0pGGDRh+EqU5Oc1IKwcu4zM59eOiMMDi3GOrFtgoruRyoe
w7Hqw1VHAEji0X4epr3KLPBrWYVTDnli4JbENuSycagP5BFmN/jKK7TzxpTqRkmzdm9ZFjDUYIMJ
4RStHjC43Rgzl6La2bfkwokDCwwhSZBF2ykjN62ij1jLUa6IUYTzaZ1VpanDhz6TrEN1qtrnhKug
HOLJRtlXq+xptm2Jf26mGVQ2wfDMnRV7sagI5MjzaJPLSW4m0uROUm+/08lS2CeLPm07G5XAtYlC
WcV6Ux0Iy0VgILpvvA8xND+VZEduYtn1ZA9YrXVnU7iY+KiIXXeDxEh3/0fD/guAPLrVHwOxXvRS
vMfhS/MjCvsbWs8jv9OwsPCEnzqm5cCgm/I0v/TvlLyFLUOl8oKH/xqZ9zcYVv1GKJvqoNTaIPZf
8t0/YFhpg9WjqdloXKr2L8Gw2skC9HsyCk89vD2Ha14FdJj+ExnVY9bNkYWo4cemvsvr0nqsLS08
o4BhBU+cZnrqFPU1YLv6sEnKfgZsB+oegHpWZjuWK2som5UlFOex0YZyP2AK8jGTZ+8wPP3D/12M
/5WL0XJUQzf+qRq8ISWpefnB4/H3R32/Ds1vpgWHb0oig3VWRJ7vt+tQ2t80R0B/68DQGDBOYvHf
JGHzm6XpwnCkpdsnhwcP+ptbQ/2maZZhq5qp6yjGTN/6F6jsn9sSKr/BdlTmcjmajiT3k1nD0eNB
thllfSewYrgLeuFDxF78Jy6m/w/95r4xsYVI5/+Rd2bLjSNpln6h8THsDtwCXEWR2hVS3MAUIQX2
HXAA/vT9MbtnLDOqOtP6um+yKpeQRAp0/5dzviM9xCb2b99moAvK56T2oOUU6rsyhL/zDTvp2aEV
ap/g6t3/6UT4N7LLf/2A8R09ZIdkHLFGNv3rT/QnP1iAMZpiL/a20lyCirYNUH40gYbD1CTtegOc
MHvyWQdCb/cfp9kALIEnEAnDapt7owvyG4hy9o3ZKWuLeSK/CdYS+SgQ0FtzKdp/iCX7zYglUZD7
kFEYpbucCRL5yF9/XmQqxTovTE+LuKk+Z7UWESNU/lrA+9vkImZqlAAJYqbdfPZMrz6nxZ9f1yRn
Fwtw8VdC3fBSI2OAg6qbX3//dv7L+uqPH++6wMBehMHA/21xgNPUaHNG99sJ5/Q502aBZsJt7I0c
5vS0MovBD2O2zakc7WVrCCM5jAljNn5m/5CC9cTZklR365KeTLM9Gql4WBKG2GFMe8GMs1PFu80h
vlcxVEUksc2PKTGLfUUy9+Pfv5Y/oqn+cvbyVlP94o+ybcfnf//6VvuZxpA92e62ncr0dmW2G81X
ePiGaUV6M/fZVEQVSqitaIb5s/bmJgYLVQcQdivMOosXiAd0LOO7h/VGhORi31aFcN8WOsVhcM+y
h+Vdy0xFshTJHRBXdRybFLtckr+3bpey1XbfAne0LyPC7bq+8jEzdWhRHByLvvQuOG26W6zYukWF
MUMhtEB37VK0RSGltNxOq49rHFf9GW1B+ul79CGhCQ3x5Hod40PIvEmYchqxNjbmNcwtEYybBgrw
29+/l398cH97L5mQoKyQJuAoVlV/fS8hXYJZGlZ3a7LvvmuA4oDfm41bvGl7cGy/RD4vd4Ssg8oH
HYlHcurL+ZeHYhlBZzeeSQdUVWh1lgTCXZYbKTo403UN85fyvb1v0gZlEQPv5ZS01foZTLPJ4DCG
4V4u4s20i+S21TDWorLNjHBNjOXWL6Z8N06e8Q8PDifrb5d24PPJvF4J/lXS/Me//9OZ0vpGq4Bk
eNuh6NQFIR8EAt5a54hgor8XgIx2nWlamGZL/dB3fnKyW9egh0czfzCBprywb1m/GJkYP//+9/Bv
zlf/eoRcl4UeDN7fvLVlslaqdGeXYaUFTbdvfjHFPDpjsWxAUP2PYm//OKp8h0EbtYvtg8X7zYLc
cD/M/nqlsGL4eDOYIF0/xfk/hLxcf+Tfnqy/fJffPqUlkk50AyDICjvLvgw8Ybcrqi3AQCOip79/
+64a/N+/F5Pj4Hqj+uDjf3v7eCTzFi2suwX0YZ1sUelP7XXerYNs5dFCtMulQbeLl88w6nt0SP3m
73+Af/NkUag6AV6W62bW+f0tFTNrm9R1iUOV6tXE5BMusZb/cAtb1y/z59fp+piNDNf1OcJZBcvf
qk6LI9dfy9zbKrd/bAcrIb9h3eeZelhw4QbZ3VLbEQ7Nz6tjcEpLcafNkg2IbvxNboNRCqaJVU/q
sKxjCL+XCdMDd3kcrBYW0ZoC48lY3RpTemwdmrCQJK2eoNHui7lb9Pdv2e/Ph4s09zpJRloRXOsq
Cv8/X/Da0SwjPSxLHddOxEzeD71VJRvtNf/k4fiXtw0ryPXiYyLEkt71f3s8Uh1bpFSIYCtLL7mJ
V8ay0tDqlPR1ubPZaR6uncM/PBKUgr9/qj3D5byhXOJklS7l2V9f4szAyarMOd6qcn52GQFt7cRH
IRYv8xtEUHzu5jI8Qms8gkB9l0Gd7+S8Wh95Aux/NNITtQ+DMF8i2/Huh7a90lfsqzG33Zfkd+B9
zd5ja3hvlLnPjBnJCESikHA1RsflyEpsXo5uoZBvyQFGOFgZEJGs5jOkbjDnwHxlxmqgpo/ds9/E
yybp8S5ZotzJZU5RmBLwYLfVw9QhDai7BP2Q8YilFM8JN53jP8Hgme609+G0+rM29HBX68plWO0m
bwi6pjvR5dYOf0KyiTVKt4qIEcTSMt+XoEYN/r7M31dmwptlyuo0CpZBIUwK+r2TOgHbrdF23pfM
gqBjVM9tq+57fz/xOrM8MX/GGQQiF2BbSABC9V2SW4CZAMryzu2KYltnQcsUwkWstPbVxeny4t5c
vJjJa04yJQBl7tx+sr7g7frniqnALjMTk6FRMcdRYCqSYmbavE3MLfWdQfi8zYaa6IN8jdrSe2Im
0WxQz+Jaq6fJAewFXvgE1MV5iFPVsfZhimcbqIwX/H+1Bolug399ht8brgsOqdUKfq34RIp5emZ0
9JVTXb5mFooJWyM8BR3+rUq7m6Faht3A3vEcMyp/7fLcflAFut9wbZuKr1WiYwg0GiS7e6gC/bok
jCAVGtDD2PaAkKcE0nrhL17EkFXd9ZC79yZpzfesMiv48fzapp4WnGj45JevxmDPunM4GJ3fPgyl
b77VXVt+w560Z/XWYODOkV8DJ2sfGArBuFmY9kMMxItAMooCm5jo8cGO14msH7J1OkCAz9Bp233b
iOIi2i456AUHeUGhdZkQdaEktYwNOSqS7+y1l5h1/raYFwNXk29+IFzrjw0Y5wuDnW6T8ts76Lwa
H9Kp/EFUy/ojv77C2YB9ycjo3kicvW6eDXQ0RF2sd128nmMhh31u5PMRx0Lzk/zH9BnILVpPm+Rw
lxH5hi2YeSPw32zGsRs3OtAM5pfEfcCglF6KrtEbo13NCCJV/Qs82rITyllvqrav7mrX/0o7972G
C4SIhpAzlLgAT74xampYh4BSg2hUUtOxx5qGVB99FGUhGXff+nb4hsN9ylHomP2PsjHH18QvvEMV
dNU+sNdm28asS+l8htu+6uGbIVU+5D300B45KLJyfijT8OpXp6/FOeOn2rAa4j8u6kdO2OXQAaw/
At0jwMWrk70l59t4UF+2i4a1QWI75AEa+9qwlyjPUv4DkaRP6Lr9rVqU2BW279/FA3BCiLT+kz2t
PwZsF49lP3t30OowW1TsVR3woceycu91a9gPU1rxO2EwjbBxmKcbx0TfGuA42aXBPCMYt5nyNTh3
coUJxUZIl6xXNWGs05fRTnEf2q0+GQYRQ26DE3h1OR1dZ1i5IDqIqWaafwxE794qaHmXTMflg7vi
D4SUVG1F22PwQRWMRf69S6thl3h5vXEEOv7RYGmv0H0voiKjo4CTtYrF+kncA8pzn3DKLkiNTUaE
x70lKuyLMa0dCuzKebXjDpY4GqJ+m6b1xpTFnRiN6TGJ15NZKdaMkISL/BkkQc0rbosH21jw/6wZ
5me9lICZcyp9f2ainA+WJO1I1/lm6b273gKXQzaQPnSL/WTGS+TWjhVOUwxjmzyFWhO/DFTtB8zj
U2q6G2bzP5BvghyvlbOfWw+wuTCemqLdDOmizrWL0hmkbN6FLouttxF7FxaKuY6/J7RnKkyBxSNX
IHUibHV/Gs0R+XNlb5ehSC4TTuNotGYzAuqrYReCZAxF1+MAyIJaMHyvnZ0XOCCg5/iGsqPZN/lV
tmkLdS9M9AmZUdfsAJsWYPDQPDpe95AW5kr8ciA+kJ02H7o3ir0ZSxRayKYYETtYkuP+iqttmu0A
eRx9GpLSYPH1PvXa9INgLALJfWMKpcfN2TMm5nPRBgcF/i9ibUM7WK7+ht15dWxtN+Pod8lC6Avj
XDL93o0dh3ee9Q+9+QuwrV0jsV2HZ3+UpHaZaXtvzeX66CWFf0KIsJ4kitUTa551C3I0/lbrYH0D
2t+yzirNR/ix3R5uHHchOLa904/ZdzbIOmod6P6q8yUsZcM4ZinandxOuG5TxBD4vjcLKMJ7Jjsj
op+puQWp7p5GNbi3sQ31PI2V8WyhXnoos9E+9sPs38LYAAgR5MkZ/ib/bwjUpZP5J6zr/BkdnBFl
V7Q2j+i2m4YfeEDSXV1SL4YS91sekqAD77Nsqfu19NYjyKatLfqbdrpzDWRDg1ffzSVj9qRd/DFC
pBBvxeTLs915zeOoM/fTzbrqTVo1SnfhvK6x424wtnP9oVLau/gIAuw+Y743nKAOheNVN7j5Pc4w
hyxcCdEOPjHyL4RIT8JFa0NhWgZqJ1s3xf0p250BMg8RRNdstFPx4McjxqXNUnvOMU9Iq6p945vv
jPLe58+jjxfioSZO5Kyz7hM5lbklT5nwL4RE9RPpExcMqQc5OL9gRN4khFDfg9r3Nsuqik0yp/lR
2bzPCS6kiKwqYuWkcx6SdquSmNyKPt5hlZ9bBgTEdinBXncm5e5uHIfkhRbTuwYyZeYORZOXhnJQ
eH7tIH6VvTQfq2o0ztY4tzc2epnzsizD54AqqApVl6aYv/lhhOG4XwSkBD99TFU3OPLzLaYN42xi
/8AOV/fo5yn6MBbmNgl3i71+WMEgbys1rAK9VIOzMZD1I1bb+ph2ufoqET9NYW6L9oTxVO2HprXb
UJoZ+OuYmiSHne9vGpf7WjH+acLKI2+KuG6Hq3Lq4menNSd++cB0wwE//n7tbLekzuy8Foc3sRnZ
YJWvDR7aNyRSJeEfA+ursE3TON7mk52yWG/y4AKklMSRQswbm2YIeHAs3Pek4woidbB8x64u9/i+
BXs7QKcs1argHJRdyw8P5aainskhereiI2+uE/pugXlKydQP7V27psM5V/kj2/sfjsy/TZUz7SA2
WDd9EieHadJvYBj5QLMEj9a06A+TrZst6TsI8K7XjWFJpFVBr7vriAjyYEVgSgt54Naye1b08ZTu
JMTDm0rAgA+R7oM3TOddzDYxJz8GMd8AIZMNYYXtoM5PYsna13rRpyn+1I589GfrmSi/D7NLj/6a
fHeL4S21HOdQJaJ66GBBHwajBnxsVPK2VEQGbcomqzaNYeJwbWDlXPDD9mjxQJhWpUAeLkuLOsl3
4Rq7/fgkhqLYEFeFSBZn13Qp6gylxDVf6YNsSZ+Mr9ma7rvYTR5w6D3FS2Uf2G3W77DTNYAYFHoH
Rkvzl8ohj+sKzyzWMhbAbSsPRP8kJDpx7eHAIuMBHhCeTMeLSZSw2z2fZB87S9+wAs/ngzJMVvAN
vpnenPwtYX5kWybBjV0X2HELBi6EQ0JmUEPWHqVbz68smbl0fF/ZXZglbht5jaZnNaA8YYbxsl/8
mXqLtU+3QDOEx8Xq9akDQ2gQN8XsQ6RFR3onWemlGLDWYttbQXWrnFS4YeYRG4q0Qu7zAGgAIsXG
jkzc9rt6CPwnsUgaBsnQ8IWFdPNOw26cGFE0+963Aj7cU4DTV6CCivUDaR+RCqoa+nemd4s9Gh98
hq3tas/xoZh8fS+UMW0XGcB2X6YefR+r3rOR2nEeGoAMziUQ8Lue4mMLkZVFNyG7+yn2s00G6OVU
Jf4LLOkbqxqaH6RRZfieu/TJUaJ50i5I8qkFfJVhE6OpC7wHjGTG99Qtg8epsKyzJcEE8CWTn9ej
8HuVNOnTNFeYtihyETLkrhXCFQxeYHuNz7JARbCZxuwnB0t5SdW8vMwGbgRQLkWzM8nH+A6tsuM1
pMUhTXx9W45ZcjF10j2ofmlukIjZxzaZxktmVk3YCCv5lrVTjJonqfkAMXuZoZmfKgq2b1WQ2Trs
p6DcU/O0SHwV4CS/WoJDp6SC3jyl2R2TQfVaOEwGF7FWN02ghgDFLDkaxpBKxim6Xw819drJK0fv
azY765quQpCtzaP6AMh5rdNQzHhcXUl/TNqAMA9Fz1A2rLO53CGkqg9pPeffhqHq37vcMcytbbA4
CJtOGyz1kzl/mUw3ALq9mluHtGxyHqqKxgavlXHbpSq9CM+otyYo+oOKexUKGytNvqb9PddkvgMc
TnYpF3GC5tlfX4VZ1y8iE2Ril7676VqNXQtD4qWQy4OMoaCGPnHlh5aXIECstvUv/tbxotkpKS2L
1Zcz3uuOXceS+O6jSFE9EchJFRJbBUFsCNNezNFkYGqgOkPeknU/yzZetkor685UFaFXgoLngslY
fQBNzt+Jgqn7bWy64xXo7szZI8yUcV92NsXuf5KnG3jhYZ+sj7xQRugtNA6aKswGXOqwdqRXHQpb
GPZrFcfDL2XlJa01k8P6xnIqzGg0Bu58gnzjEWkZm3IFBlD0+MeTTog7xDMgrE30Ile9nfs2VUt1
QNZkP5baDg6ZyBBxVKoZ0QB7QAr4tLutv6XPnBHpzR1HgdbYwzAYB+muqsGfjo2iuJXab7eQATCI
Mt67wq8zl0WVjxs3dOcO5QuKbNCXwfCSKRcIq0AtO3cgswZIFr90G2Bmpfeeb7Roqh8u6S4oVInG
ilZuWPC5ADZuK1npb1btDL/gQnpnQ7vik5fevU8xMrqQnPXxhquQY+DPWG3SF9bLgIMHcToQzp1y
lXHLNCzhPFdVOW+UXWboIJr2LlOBcQHSnX//T/K2nDv/R06QCtN1Du5vnekTlOjb8ykfUzA1AKrr
LrwGCmCNCppNib7zjZUSnytVZjR6WfNUq9i/jXs3KXbCt3+UFgOoK77bGR2WJ8wz91eGd1HgjdPo
y6hntEges1WWz8u0jDvbaJMTUWzmHYJ+weCjn3psiahodmutx+Nadda2FVk/Io5s+m8g19Qh5/p6
JRYMXbPvpx5mtNkcbnqdFx8N5dJ2npvxwEc1QVU5mfdA+oWHaHMk+nWxoNdG4zLGdbQsazxsSKLl
llyUPuNyoDGgG/5huZ1/ZLqanCy1fA2m+uoH8WLQAoRlThiobeIn8Rvb2TkzR2jj1tNr3ybJDUGF
wS3BQNmXkhWudlJeVkJZA26GisI69IUlYT045pVJjiFQL634InkB/Ywn7V+D5c7Dz+u3QNruzUDh
sCin7tazFDZJrTJae4915ko00uqErQmVmRRTbOFrTAuuX92+J9y40MRmIA0i5hgi090Sy3sFFP08
cga7vKwYqgfc2zCAkHJSY6eP/ezAJ+7Wd4OvgiFWuM6GxqTYe+O6YCpO/GXTr2jNJ+ZwyT6orjYF
f75DZme/wZvllXMNh8wXxyM7rmbLdMl+5XaKHJF2gPbj1b0IKHMRtQx6zrLwN1foelpX3SlAZxnF
qGQ/13Jh3FZNBIy09LpiIbbU7uYRI0G9yqiBc8lbaLrHgZI2CVEpWnM4LlzJY2Ete6/XYt8YAzrc
HktEmExWexksUe8MpyfkWlqJEXLSmU8tboyfjDJAncy5j1VH5MsRZ/9jFffpPRjssAoEbmrpTfY5
jqdozHkOV28lvNj3iWvmNz5C0Lcclq7+zBObBqdGBW+zsOVrqj3vplh7nMq+NhnNVsvG5e69mXLP
Pvtq8jY+5cqbMr38hJG+iigO2q21qDnKIPiHThDM52X2cV9A51q3gZ2yrcPzmT5IgMw7JFDq1Msg
+5n0mgu4jPvIdlmjAUKoX0DEFM9JMulHIRL5yr6eeGpJYANxbVNnb1EVNlHpQZbZOPV4ZfdlJTPY
0oKrS+yhtWaox5yxPZoaDHlrAyfr5z6PrlLqOnKgnoeBs1TZfqaWxNbQICnNpDFjTnbjdBOkTkK5
tRKmlQUI/z1BIB0m6ZnSPtbo9dlC+zpah66tdkMmp8fR9I1DSXnfcJr6HXbFxYLoELizeMjKNb90
xMLc+F2F6LDpy80MxuZ2ceruMBcm7umOfAlXDfRAA/mkfZy3hKQ29yD17RdzicO6t75njfcRADQM
XZKiSUPxoPh4KdK5Td170biWZ2+KXWIAU+OxbQiz6mrbv6nWuTxnQ/FcpwHJUqVKkTta5pPsHed5
Kpr4iPBeb0WnnmILWRqBI/Mj8mDjMJVkaC/cpHAy6yvMcXqMhU6ePA0QZBh7b2dVTJkZ6NrnuXbQ
2HrtuJuGpg5ZhryDHzJORlISyRVXgM97uZ8Q3RHIMf4a6VY+V5SodiuW6MoAjxZXS4TjbVhkbXU0
rKbcdhiK9jIF749/fWx4wu1kq22dPuOH2Wn2sTauqKPJrmtrrMNPZ6j0KZln+86fRtwdfeHAOBGc
pDXzJ+SHuKybwhAdLnDL31ruXUcARtiNRaui3h0I1EYqmBL/llctWMnyBGUm1ATgBXl9UZmY3qvA
/Zx8kewnsZjHtcZSNPql9zAZfUTM162lx4MA2hA2Y+KcwKzfMftt2B1cQ9Lzh0a4xg8c6jNHE+2w
NVcL43y1nhiAvRDBw1jBkBGLB6zLOMkSNbVHGw14UoPjHPul/CTHPINg0n/XOrmFc2piCcoaoJ+m
lZB52vog96Qgi8OlBdJudpTWiju5CQAq48xmk0XpIcG8LUXUaxpkr1xxodsuuXYmYU3xtZ2A8bV8
x7DrIcIunI3deDTtV0M7Z+7GkEmh0Nu7P5qqdp68LqmnbQKNh5BxgRnKWfPxUK4rBim6ivTGFVnh
7ZFfu++9MkXyEfMP+Hj2rUffG5jPtiPR2s+KaVuxqm3B57aN6KW32ofps2NBwSijx0AYCyd+6lob
KT4ojWAP6vFIhPkm8XFudK6FILpWKE8PSursI5bEytP58khhv2/yZ5HpnJUjNKrgI8liDmITN2pk
dDgMT15Gf4JL3cOxFwR58RAk0rWPrLPzMlon9iMsaPPb0lXwAYpliebOYiZKdjGZjdyHnsEKgfM0
wONAYuFjPqviaRodTlvOjXpv55qZ5kzYIDqQzJPvbV1OHysG7s8/wix6J5iqcA6omwf6usiCv77T
+GoiYPvmeMhdrvvS4FdNM6joFlFiiwey5t8YFIOUtGZSp5dRgodxmeGji0V2isFJlxfPIJcIHcKd
nVvHoWo/UoOsTfZcdy73ewLByQZfN+SjeHJMAsNQ49fJg0tBcuaJS9/jLu/oiLtwHhLjVq4YUVxi
ApLVag+l6jK2SzAuqzzYqyr4rhL16HbLm4MMfwz54PKJ13Z3XNDjJn4y7rE+NpcAYWLk9TzoVcaw
kQSBq8jGnB65u2tuyIIpWU5065Y2gE51FM6ShKVW1RdOJCgHjj3gqU+PAOZwwsuYnslRBioTj61U
Gwzz0xVp8ZKAGbvmdDKkLt3ukiNgMMriPNgCks0C6ML0U4YUQxPHb/QLlbFFldZtJLlvR9XY4/fM
zImt6gl1OulxMJJIYdqk8M1YCwPgjEQ1JRx5KcGB5DrlSXBYDXMC4EKbx/lTNRejrN2nDk00hRbz
08zA24F/5n1IhLlfr0JgZqsL2BC331jxot9WSddWRayymGwQIQj6qK/e5tm0HxJtxsluGO31e2tk
oBipjs9OMHpva6eRc3es9SiJtBs1+RoY56UUBtJpyduAHkzk+2pI4jub0dBPelO6EJ3Hl0wlNYMK
3j/eSZFKc4v4unyhhQP02/f7glS+uTKNkxOIKxBMFS/V2B36qZ13bjW/jgPgXjKUXlgg71vTlwcA
Yet20qS9Gyta/Y3bu8y4c3FHHMa45VzJXsYG2oHjt3QmigctLD2j/1Xr7NJ28ioMX0lw7GGblMjL
yUjHCeAUkfYzJvBpu00tW20GlDYkR1kt6VZrZdHjo4aBleJmP6zJcltEje18IAOkfzPqgNmq53RH
N7e6TwT4ZIEtFg/IDNMoCyui4p9K17SWqDPH4lBAKma4RhiMTP3qxVo8tNyYlRWoNgcbcT1jG1E1
oKW0Ky6jnKgsVJvdsDlh5WBV5WHpAQESizJd7WnVrB/1ktUHhGfzNcnNtw4YsDA2waFnnYAb8i3n
VPypzd6MasQ1T14bK+bES5udXIgH4CWkuidSHC+CFdPINZY4AT8jocbvGufYw6GrSZiZi8tMHXOj
SIUC0kUeN9u0lJALkKHXvJrRsIgbGHnLI2FNr8WgyWD2tb/NPNXvZ9/MKeusoyfBfYVz6u6JHtMD
NoHROtPBNWHas1VUm67TD7ifCIoXX4RRiaiXuEeLa8U7ayt7RK/XXGCMTlEDXuY+19o78FGy79Hy
61cnteQWy4cLq0PX9HvuGFp6sKCfEUrnAFVihGYVt+icHMoyRe0cd/OJE3eJ8Fn7u4lTeu/ZQKDW
pr9uxrrY/EYodXsTswXatEUAFy2zvccJQwTmncb9aQZSxiFTPS6PIl/szeS4hGzNIo/KdJo3zJDs
jYEZJWwLMb71Weo+mTyfD2lr8iglJI7MRKQ+QgeFb8UeCqG+jXeSQ5YBFRRAA48S05RizTaAAqun
rGqL/TR447cu5qxrDJuF/lyjbAtXAghH/I/XBMuyNtksJRLalmzSn6SmW+8uFkuoejg9WCeKyEKo
CPjKJh9SBiqyDPCFiPWbKK/t9ZQKnysnaUBuhnPT+R9iFu/Ed34lStpnlOH3PFBM65kmRVU55vep
MKtpM+X9tXNwgEteAs3qGvPGDESm4fBMo7Qf1IHHuqN8tBmZzjAEj2aeJS+yM5BocxEpqHkBucj4
M6REMqCD21qZ8cGVVf/TgshkM3OPpT3ekUyzHmtjkQAqheojwELIZ9Ixix8ShkVPPF3Zt6JuzTei
rjHwYOrcJkQV7sgP1nde3ZQQCqDxAFlSrJ1L03hDdTm+FNpiMOVXuPVhhfjHtLe6CNlY8gXG0d+0
QIW2pCatT13Qtbc15qMdt0W59WQ/3JBp0tKPGspi/WL+0SVP0WLX3QnKFzEc0Hlu3DUxj6TsYuPi
DiFxu/TX3eAofWHQMh51WoiPIkm8V3ug0Ca4mXAEkQ7MYSUQ2CzPdubobUtrmT5F0FnH7I98JmnB
0SSWO7vFzbTc80SWlNRO/45jKP9pB3hL+zTRT1JaCocX/Q4RNqyPUTBsmBqH6Bv5a8GU5HnFuzdF
LDf8JTLUODyZSzVcnKLp3Ivh1+pmBOCMdknM09al1zp0WcoGncDd+xXGFZ2kV5mHwEzLbeuNaFRM
/PgyyOVzrGzrkrbkj1mmZGhTWjOfZz56bTKwxPQ1cMq+QkIikFCBdz6LRrzIWnzZSDufyYzuHpvJ
iXeiWbJrVUtAopNlrwYpTHfrlMhneynUI34fAvryh5lR687CGP9WNN5w75r28iawCGxzhCgnuyGo
dZLx9Max8uYVpX1exbU+uJI1ofNZp7ocjH2ZpNU9oVdFFLuq+FT4AHfdbBlRX6mMVsXgdEBgdaA3
zAiBba0RFCCxdeTuDt1e9b5+r5Kux6u/autnZQvqsaE1RFhSJ5/yzCXjDBr5oXPqajOAqomSFqt7
51ylETWwCIC17bFqoUVTFu57W043ADeJ3/JM880NSH9joKkAIXZZZT4wbM1OSuMFZWab81Xlsmta
ozgm5E/ct7IbtlUAkFuktX+aTEYaef1rZl7jLdwZJfa4PWV00F+j7UHs5akRxXifDh0oZiYsybuf
pp+olL58pq1RwhY7i00wVkjUOqzY+7Zrvgqod2EArLPOABxVV9dhsTqbtFK3SZ/czrJ5XSaOnUXL
DWGdrCvN1WBvjIdqxIcFkFNl0jyWqn1aB/OAYiiShkoPa16XEeZBFAhshQgDW1hk+RPjnmowSPEV
B210N6XtYIZdb52O6fdqemyE+JKHwV/ynTMm6JFbndFMTlP+XbZrvxMyyc++zIoncBbes1vTMTY6
YxReNeb+/+gGDG/P6n6LyzL5EGnqnGmBjZ0mMXpfD9nw8oc4738xFsi03auH4L93JR0++vWj/vgz
Gei//sx/+UCg/ATSMKR0TQqqP6GBJA4Rj/hJA2kh+kLCOf6/DwQEP1WFR/Q0sm4blTXSw//nA5H/
F1cJXiVGEjgc+Df/AxsIR9pv0lBKJ2wSgct3MXxwjL8J/AvTSq2iSGtGusK/Q5Y4yx24Ay4GTQ2W
cAa+E3RdHmvm70UIKRA3/4IEwEAKfYDNExxzRDNPgcPX2Cg4Mq/kZdpv1lzLi9aG85IBcz9z6NiM
fe38R5MJ+4J+aSEFt08OXoUUMvKJ/F6vhabzWSzamsKhY1nklYb1TLuKtiATVf2LBhpmBaSxZ0QU
M2WZYd1cuQT3Q2cTsgH/ZTOmSOmT1k9CysX8tfJdRsjCj18xr+bnnPD0DEoN40aqBqaUeP4U+tE8
Hw0uWbSNbuFboJVhHTSlH0du4nb0CawmL2yl6n02IN1zloJc724qtpA2qWpGZttqycfLxKh9E8T+
xk9R+7DOMG4BD7RXyLy4WUjRpjlI1cWhMt0p4hqf1GiMZ8YieptLr750ljMck3Iwtxy/6rGsMaai
qqP7LFGuFJN7iVHRX8ixVvtumYJ3k6YPNB+3WiItZyusrrgrS7s/uFdL89i35FtOo/5gssssMMvb
XVM2E9X29UjXErB+PwJewaP0Ehftr7oeScGsR+Ch0VIV87sxLsnreI1wWdN4eIYeGX8hZ+eMcXwN
ozH7IxpkZS2eHT1jQi6VsRW6ToRIGHH+SBvxtVy+g3WenV0RO9l97aMuytjmnQKRwiltUZRjKqeP
2RCvGWxW1DNMSYRN8rhwSsamRCzVkO6n6td/sHcmy40ja5Z+IqTBAcfUuyYJDqKoOTTEBqYhAvM8
uANP3x90+5Zlpt1rVbWoTVtvchMZCokiHf7/55zviLUjJZqEhXxVCwKq7NWusVcZIGKc9hHRqNjJ
FkML+8ffs86q+yWBWmdo177kRRzvSqMaXnTmxmHvB+OLN2XpM1l8aplb48Fys+acTcr6jSpPCa6Z
0dadje1Y0wgw63tq6r+SxP/pQHK9NN1Chkl7wPuoRtqNqlq5GlmNczAabIK8HuaUy4Q7/iGp8Qim
Sz9f6XbxbnEdHbAz/tBJBYhZefF0PbVW9d7RtnacUZOOlPom1x29AoxmRWjFOjrWRs9mHA6ne68C
v75Vg5p5pLr6qo0T5y2xO9cP82UyXvGkpM9xU+SnKlfqJ+Kv+a4iquAT0A+7uvf9M9WN/S4N0Ndc
5z7Von2gMK/cBmMxvWd22z472oYWXY/2W0NpwwkyIPWss00XOmzG1L7IEqQUvvC2uYl7ioc2EjDn
Ge8dcpDXNbeOTqEj+E3zEqF59ZukNMcjUQ8GC5MRYJ9FBcEBc87go0jxgLWBEumc0+EWhBqJXP3d
Gk1FpsVoJ9QziS3vCmvXzIrQqC8sPqFTDZl1my5+f2mqUYRDMlDVCxGQEm0QHunWbRr3kiNwTmFU
QDeIqGP75YPg/EXNWXvhCqe7HZL3IraONRUhreJYRKu+h5gE/lr9gFNdgZNEmCnW1vDc21F1SdXt
nDFbRHbmnFt7DX6DfnUuVuWNYV3wYB2jlnMQuJnp7BpZUZdbZYzng+1x41o8w78ZQPugb3MUv8Ft
W6ha0+4MdsDBtgDsPjaiHbZvpqEudX0+nYtKrgc236+2TMD/s1EZ77UxVV+sdl2NhhJbPyXrJ2dT
NX3ypvF2SNypORYZj9kK03CBaeYNhQGeaYIF44cwYR3krVCvLZj16oo2aBtl06jnk4EZtjpAmbQF
VsvU+Ihr3JY4TBvvdcQs5odB4bMxWmEFdj2vh7aKZg5GuD/p1hgqvR+taR4PvmWuuX4rMN5cmiYs
YvYavvEseq0vLu5oykwY1lE4WD7fqAI3b0i0igwZHvZ52faGyrrDDCQIlJzl1I+M49zbFUslLLFR
139QCoP2NrLgSM7os9bw2CSmcaarvtyPZTOQkh0TeFlZW86PZpwTgZdWPr5Rx0CtVJkyeG7UqGQa
0r7LvXc03LUZ2gG3GRUiwyZl4xWz4FZcgYNxT0IMjAI9OO7fHWjpF5bYPdd+8KHAXx2oLrluiwca
iqOXUQX9pQjkb0woHc6P4EFqbaILOLEEYVDU7n40y+BqdEb9kyIUsHNynNyfcjRxT66wn5MJ7Rqw
KsGDQywm7yFCXfHv4jxCTqX9VbBSxZ5HQSxWyrDzUOTzIhgkguPsKvgLZfYDbUCf+2iOn4GFo/mO
hewx+JoEk5TbqV/oMyNBDaUHlG8iHAmJs4tBzY63GXDddpuhHJ2TYRR87js+CK8NuJqneXBhbZce
Dv+Sjji9rUmFzAc4V9Mhwgb/Y4SJcKEChCZVenKzNKzcKntlWcP37BV+eeXKXla7ZWHo2MDu7K/I
f7UvILVKeUopqGPT7ZWKNBMc6H7bmT1O94pfnGEXKKiG2fMNwuMuvlpjIrqqW6C8lTHxiRkIYL1w
0R7PnKHi3RTD/AJE0D9RfDCzH/aWjLO3suVW8aWRCWo9vgX8/ft+gtOwweTGEtNxjLcWde9szb75
o6wGHnqTdg6A9IPneNFoxk1Q3Etbx/1OaWfaJYNdXmi8jvBgRbyyHLrDbRZJ9o+wUYbnaZIzxvDU
rn8aeU0XKwhJmNV2Yz86KXa7Daei8YEbksoOn7UfBke8shKThM9VAdJa8Z4ikTQHY5rweWTDTCYx
S+uupRijZPanE/yxrkwKqROm/xeiI6yJull5DxQ/JPGaDuGVnLJlRFOt87sgEay5hsi1+q3EB32O
hpI+oCxL7tWQIBr0NEDvOpXugP8WH/yuwDAs2m+eVT/wFJjY8Usploe8S1Z9yq7LbhO366yck4m7
N7wchorVGuZzk6FHb5dRetcTEiqCDAspQqKA2cdrDxjeHOajGw+7KHEGpOecf115Vo8FN0+i18il
4aNEECI8WfCq4rBqnsdeu/eDSgPcCym/9wyk752Aq3VZtMmJavqyf6CTuHlQ9PbyM5umtXc7Af1Z
0RiHr3Z2r3F52e1W8oTjneHM3tHIRrEXtRiRp6c8DbPFHLjRimTtmusycPsOXdKxX1nvi2AONLBP
lBsBvuzG7TSvCMT/9to0Na9QI5v0KFDY3/OUjiK6Afm24iAbngP0cl7fZE52nvTiT7AVxdEtxuA5
Rco4JEtrcPgN1k2+2NmlmB3SNSRulkOmMufIk5YdWunC2EdeAJ6He7oPriOszmctB7Zq0N8GnFlp
0v9EkMcPX1S9/btogvJXNGb2lRMZ8QciyozE0LOhApB1k/i2eZpZ0M+b/5Fx8P+9brdvJoVNnuzf
z42X9wqPW/eXufE//to/RsdA/uGx3jRtXzp/pcoG1h8BsyHXJ0daAalm5sN/IgScP1zScRYDpeC+
ZDtMdP8cHe0/fOZNh69oOy6C0n+LZWF9Vxj9KVbom67DP0NQLXCcdYhd041/ysU6OP8aw8wDQiWQ
rufEzLdxGlzJAWB8w0ISMGesn3I/qw6SmCpo0kX/gAFlPFYifenioL3Qw70Qg+C0ZQk4PfSTvBcM
Zpt84XYseDofLV2bDE59jF+ti56l5Zd4XoxT30XBVo4+PL68fzCqHK9ppgFoGzn+rYl+Be51d5mf
+T7+npKmhJ7r3wYMuWRtkgbLrnGotQhmdkE6gve4qLm5dJnUyDPtbG5LQgisQ6OMHtSc4wEEpXMM
elyxxVgmrzisf+UMX94uHuwWtT7NfqZW9qHwWh5TKW8y5sZNDnXnrPxy2NHBhC1Bzr9Ng22ZHKv2
RtO0gpksKh9Y/7aXIHeOM75HdssCKTp19Bb+uNgiKJp8ofSVKZOd19C0xYZJhh+oV0iQaLKm6LLn
DMRJiTsy3ndWKbYAHnlKqKFsHkyVfSmnl1QWRNHWTmaeq8JU/dbvzZ8lG1K+VFRNh9lanTCBjB/x
eG4HWxmP0+gV91PBQow7Ke19uMVMhFAPZxoGyITwWiVQGUW3fk1LmTwCSU3AQS0SszoCmUKjtrRB
gEKWrF2rbtqNRuFax4KeGAMifVGcG826bx8tFuBdSYokOiPCDdM+YUw/T3U/vgxWF3WnvqUu4YBY
P121g9OC52JN7+4mZ+ZKzhoBVSTDgAfqD+TXp9va+rkidzdtfMzv9kZ6bTtvJxz2QTgbc3A3MIO7
KF0yps438Ljt0TTCuI3mk74OvdtdsL/KhvTSmmKNob/dJnFFGmZQBleiocAhw+5jNUhNt0Tle3E/
5wMeuyDruaaZ0iu8UEkyOXjGhVIPWedFydGb9dhe8Q6zWVr6MeJZ77XWjWGo6nfdpCVX2DGGtzQ3
xDUnl9UkllEmIGpT22Cj6MRQW1cF3FniE5oZxi5HYbN28pB1QkkljW1ubJ6xobRvSOe9Fr13p7PC
xKBgWszG3TEZZLJxOrItzRLjdKgfCDR8RI18HEF1zELON2lgH50yv5RqbK+zONrZeX1yk4tbTqtw
GuQUdS+rl5tfmaWc3VDOLF7M3L5LZ9v4xdt5V/vVhob0O2uATltp/55QFhsICKUlR9Q+KK0Gc+r4
217uS5Td3ufvoMu8loC+7nviL42bpDvVdYDuEjjKVOm4uzo3vmRa5I9BY0Qb1+jvGOp2PYl0ypa6
mDeDHx9h4xcbMgVPpT0lhzzHs6sKOz62+DRgqpUzjg+DGrISC9XMkiqk49V4lyQ9N6130FWd4KmB
wTc13FTIjlRkExDjZUYLehbYNcnOqr6Yaeb+DOb40SpKfNm+NR5UVDR8ZLJ9DqdtJ2xv2BLE8j7Z
mfRhJ+ZQ+Lq/ZpOgSeYiz1S0g0yO98jRd4kzVgh2SxohT/39UBKzB/S4l7PlHlqSrWXjY9hxza/C
i1FfXOSsHOWaPr3ttEhMJr3/ZCyT+KUGP/8Yl/j3n55O/4KsYrl/ZRf5EncLG0yX/YpNdtjz/pbM
rxpCfRQ8BEfuYHg7ysxCEUat28W6cW7pNuJTYiyjQ51Cm/cXPBYp+kQdcZ2daFAjM6ISzkkGCDT8
OgruMqsZgzDWcOt4X6a+zZyR43lJp3x+rrtKUIMV8XkWncLD4DUFGjO3vM7dzfVILZZuuukqF8mY
HCD1Gd2pEw6HRdVE52nOpglf5HqaGN8nS/t9yvTrgaNLnRincZg968jnkgt81zFcjqD79n6SZw9D
ZmABKlrTO3UtTmACi/EnKnO9sUCLYmYarwu0FMUVcj+mKb/NbLpesdJnx6zOFtVsZ5z8GR4U3Ey5
hfZaljEmvIplyTTaD0spuLVynF27VQS0kwXQLpjowhB12u9KTbtQVVlX9ugNjGl19aOb4jrEcl3w
Xu3bksLQXCB30GmB2uUumAN6ApB09pgZuz3aCDmFiORk+WOKDKHOYNFKykiVs0kcbYUadyYuH6Ok
fy6unpM2WO7cyCUIYpY3zBXZGZ1P3o2yWujVgDb7xqFAq2oLkNqpKSjw6qXjBorf+nZiF/BFZeYY
plV234FwuXJNWrLruMzExZQiv8HS77Ee6wYTaXkol5RyNss9J7Dqbiu/NA7elMhPP5qMgzCK4S4y
Vu8CMMzPCGFoRmpsx58zkG6sr/jUI2c07+EXFTv2bR+yiMTR1H0Z9jUcyY1VdndFwgIydaxDUTKb
ilZc8bSjD2s0prMft/7O1V0bqqTvtpTKpkwGWN5m2jedV3RGDWwueyliHv8SiDw/STCHhp+wDWjE
E9Dsmm2BPnZyZdsXDTlD+ys2hdq7rfHZ2hnBgkqKQ5MMVyjcu0RgkrLEmXj9C7Rb8sLJqZ4w8wqX
CRTm+DTRcjiOzl4v41eZaMFyxv5Vyzi45GNDqZhndnufurgjGd93x+/7K7zV07YnEPg14yq9mly/
vy9ri3ReT6NL1rDULsscqs7Uf3JZdFhh2V+TJIJk4KLdtnns70qRpmeZGW9U2McAd0xxU7XBBfo0
WOF8tMKKPM8OAAwtQ0MTbUkHVtRYdgvLtZFKyqnAx8VpJVUWDn7D1grsd9MPl6WBtTnjUD14EkJ4
qa1HAlb6UgiRnqzSqq4RzVwuH8K9ibEc3ecO85tDExj+iBR52S+2MagetoTQdK7oTcAQDFxA/uqj
YgqtUTS/84mkEY/veg9dst6VPZEVu7T401WVhMuXHVqFLLwtRmt+06wfqCnVs/XizePQbKaOsZlV
6fDcUlUJwijNMopPUqZW0LEEpsZ4cDcOCBCG7o49Ukg3Z3mO1md0tz6t8+8Hd/P9EMcKxQPd9oo4
PfrfD/rp+6FPoosLQANdttro74uB/L4kuOt9IVlvDv9/2vqv4NqwdILlWx9X/37a+t/dWP37Nu3/
+AL/d+7y/pCC0cb0bQtjp7N2u/4D3RaIPxwwLYACcb1h3PrT2BX8QeOpy/8NYQWQy8pg+efY5f7h
OhR0B3w5iHCg3f47kp29guP+THPxTTvgNuryZsHn4njib3gQWLkNwfBkOnVpGmcw1fv81uudcdjZ
EQ81uoHHIiP+V5GK9JqVDJv61ciFzEusk+HLLOQZ32HWqBz3Isxcj0gZKf/t7T59o943wD3j67kL
OSziq6WGb1Q5nWWGa/wvvqkdp0yPhpybNyS6dd0tUvqNmARid5PHEP5Di5/guVexxO/hKa7UzRSa
s7K6tZrjo1lmOBtRKxEHDEyJYKotYmPbRQXqPhAQTY8aF9OytbQ5WwTbWQWzHceNx9578u9sq52w
vdN2wD6cReMFBIFkIaShJyBLetwYMgVYtSUGmm5svzR/J6lZL2Ebk5zeSWnIhyqJJBFxCO2vrWRD
DhA9mj9t1xjumgyOba/Latz6GOZYknZyek+yHiiKzyTKus5N3+ja6GGksm8Dbmua95qlKoqC9b0p
rjZ2JcnYM/paIPZZyD0NrjW/ChWTtAFLTMrFMmumW3+1ytlLx50ImzC3voZZ5cIApy5KL8bZLqG6
totMlxs7LUfxaHW1zfQh5zbey6Cxg5dpIHw3t7jCqWUwgbUvaAJrLlMY9OcW8dClp5YHg3nLZKPA
MbSL3Qf7rMDK98Qmyix4NncYnRFNXi2oJmGPrYgXK+GOlFRbLlQq5MvIMyQlqrryFY4htKZ4o/SS
SdzGnh8TbvMw+7Kl4hYfsW5mma0fhtT8jfo3h1VOl67qregE3oUQSIOO3LXC2kcj5imuecsNpqlk
g7TkoIJIaCG5mCvGGu2wOXMVnutg9B6nQJ9UY4iGOHgUYC8cy1Bm0WOf+fGNXUwvVmNDkXer6473
B8Os8yXK8kSr70npuDoYhVli4QusLWz1NLSXobrEll1dubxtHkrM9ydXk7bJbCTTom39Q8m2fROA
Ixjd9pqZVW5duloIqoGZFmZ/8WVNAGoq2+siITNicQ38klNfHOigKV9SugZuJpvJfiT4Rry1njdG
gEuTaEN8m/uNF9rFWD+QPahvugpcmsydJVxwFGQbnZjRj7jQjzkz/2Ye8vg0w4lnSPHI30Mp3KRB
TfOshkbHZeSjxk/42JLh3GNXhkIXW9He5QIdSspKNoKy4M3E0iQVw3hpCxf/cpSYbZjNzvhUJM3d
1HSHiQ0qWQ1n3UCwu76NEgZ7Z5mHbuuk9s5hV1BzsZrYeMTz9EAqEu6Tx0anan6NY3qXK662LEqp
CBmGAfWr9wjH8imLfcobk3WF2uq8epUiaDiM7Cc58f6fS9AQZfRViOQgqO26MxjLftFoxzu9Xrvz
vHEj1CrQBAZZQ7juXjWcWcOYCFAGv/mGbjGDcgcDCNvaBj8OmzhyOtrYgBXZ6eDtCe32NERgA6/6
sgA7g7FSefjs2bEurwbf9z7LoiVMCtkebDtTF0YBvFK+oR5zBCh3iLIrqEDeNjALMuoKBJUvNXV2
tq7uO7w0oeAKsGnccrlZBnKZu7lEsE4g5OFNM6Zx52aWbW6lrGLa8lAvNmZkzc8pcJxVXlU3QZA3
mHs9THqJ43wObfe7aW1MmOCeaRuO7H0iVBAOAnyGm0/lnQOUbhMPPTVJdD9/1LSL74kCGvzwyqko
ZMPUS07Yp3RmTZ5DlqWCbG79F5ZU8VeTTyr9xx3kU/+v+Ff9L6ZE4KZ/fzqxXnTB5JkezlkvsP+2
FKxRJRKsVwTYrZ7ex0io0t0NaT3f9sTHfpDik5xxdZrvEKJJULISqp4qXHNhlxTia4xBcF5DZBGC
sdxZjgQomCC5VrkDWTHBY0qZymtowYtoO7XGtERn9EVycsbSV7daFrCLatJyzz1+WKhTJg2sVOq4
k3NuUIwvpEHzu8RPOKLaho4/M7Oxsg7W0H8YtkXuzkncFzRB5mq8qzZSvuE4GzJ0vkJCctUliPL+
pJQ3Hyj2rM5ItnpfJGicC0L60SE1ATMUoyIbgWVD+2vMxz5i80/uYudir13DzSnfIwGg7cA9ZCMI
U+09zXOL7ZG/qeVCtF1RznGE8Ei2dDMJNRUHMKLgbrRvYrwxZ6e89mSKINu5ZE3HCVubB42/7y15
YnZpFyIBJrCk3G1CXQ/ObTn39h0VCfFjq2YWHF2+T9OGyEcF5XQzZaK+LYMSb9uIEcgZXOcF6p5N
1HQN7YNY2FOoQfzOnIcQ+CQpz9h/TBwfXoLzs8rm8xQM7/UgcIU31Kj0prxpso+JnqLAEP41tdNI
7QZYOGSm/oFdMXVYNS8c9w3iVObK7VbSOFbmmMI/cKywLOA/jB6WTaN6sNSY3kCeAb9g2u7dlLJH
k5Fz4rGSb83BLZ47r8Ef1zsEKxZvpIl2bvrp+/a9oW+nes3mNaljNR8QyiidJF1CiUZQHQXvzdvW
a8UjSIFPr5b6oU745NlqHG/6weljQrBJT+fmAmTotBryYpytcVB9YVVpXgvp4qD24RVIKmcn5wah
brI4lB1HvwSLJvsQ4LR8Z4+Tvw04HpZHNBgLGRdHI2jnIG7fhB0nNz5+6xuAHu6HyignJYE12mFM
mv9jSnL0sNIlSViJAaq/YZLrTrAvWyUFIbZtDJ92YQUbVg3lo0WtZRKy6loOTuHjp25H2KQ66S4j
FhtCmWkFWaL04weTQO+lyDhvWvg+22FU8c6VOg1d1/Cf2lwKcge2+86tNvd4nIARPCpCYFcp8Wi8
6YZIzE1fGPmDqlrgTL7f2ESIO6qctxQfDCjuXDj6kMOuafdEhJodozREEN0tY7tdtembcgD5UPFs
5LHvLUsoKoyyc52VLzxa5K+xdscjV6/B4oisyYo3RLw3OYsVPghjBTs1WDj9/JTSYzWK6tl1svyS
z7l9QyfYhO0+CF7H3hZPKUahfdtF8cNikDSASAfshW8jfxLLwm+3xQy6WWRhXrk+QcyklfRxMWx7
10mO0ZMeLTiRblT3odVZb3NTURtNeAFew5xn4CBS73WO1G/WIQb7cDFN9IJUe3KXPLqUk1FYnc/6
Z2cT/8DyMUKD7dl9vPdmMj0KttavEUn5ht/ohK877i06hTD6L0dYa/bPJW9h+NkM69hMsweosMF7
07f6SUhdXRNApQRGV1bPvaTCGSUzwtyhNAvmWVHnI76sxf0cXUnjpjFSKW3jstMhtpaR52qdxorF
+zD/NP3OuFFmgxhcAbcPNlYV5WeDxedFjp4ixGNNX2bZLZSODL3/Iuh9WKnllmGfayRfJg28+K/W
qGbQuY1Oy21jdDSKAcuw3vyuKx8dArAnFVESIWO4B34/SmPXy4iMqhNwE9uoCUsAh15PZmieNEue
CAcHpkNl/Ry8Zs6PWqrkgw4dOl9KFgKXJluGTWtFaNBF7lEZ43PHNqFoxedZc7zsbTV4X3EyiOuI
WrIrWnw6UpS2tTzT7WWx4B9Ef0SqMn5UvZPcDW7lf9RaDI+TYISiNcRYh6dck7IKYj6EhGMJjbPH
aWn3g259vUyNOKXYLJl/dIkXZBhieIl4QeO7ARbL02Cmxi20ZA57z1yXUxCMjN8DCzakl9JC8+l7
07khm+EyLhT2dKHRemQzY9sfsdHP/Z63fPtrHuL8JFo3yrd12savlU7jYA+QKj6NzBu/oXqzzCzZ
voflkLKZbVNPU2E/5ZS+Znn7TJ5xIdJbUdxAEMqH9Bj5Kgxyf8YOYPQ6p5dsGc49SYjbDO38gden
uqEehlsniZ83gHAi9CO2kyR5IqtB9WppdoXuR9zNHwitEtoBChwDkOykodaQY6Z2meOIbJt5Ne/H
rNH1rUQfvx1Ztxxbw6YRTsnYPnYUdrBk9ArsanaWE/RLUunVZHkH2ikq8lkbp/Z+CLZHH8wxNsY8
rPSYnSoy3LwV0u6mmzVQu3QI9N3cqVfLNB8nY2if6OoglUdrSn07FqZZ3025To7TYjnv7oIaCFm5
gE4CufrUEhkKG231r8Sq+99ACv1yZ6jaf6xN7J4LVYTPBIh5EuUTcbuyw9OJ781PiKSKis4ONNEL
ez3L2Y+NAV8pzgw4MnbCEte1rubKxqqGK8DMDgH7SEZtMvc3xMC7W8/X0wbyy/LgpqVG0sIP6rmT
/0ZBqH7suG5ReKmN6MSo5MZ7oW18udw3O+S1udwtI+/OrWXNtXfbimLmA8Tig4zYNB/MVtnv01x1
p7E1ieDB8SZa6c3lRnaSPhemJW5gLESxxQQtXZxGp0osF4769GjD+8JSaADZyXyq69JxWm+snBPv
jLPwtBjhqR8GQb2bKgP6K7qmx7Uom59hpBRiw0scYI8ImoxZukkIfBGi5frb8sHGhjAt9s7w/PaE
P2V4kk6RiZ2MNKkis7DhDsYGKGu6TduLT+jxULQuLER/1K9NbUf5bWkgLHANWs9NWNCzjbeI86iF
B1HeNTm5nZCQbZ0edCthwpjsrjdFwK1obpKVbJE2ijdzEdCE3Q7x59It9hmfZG6GfqvZfweUuOEd
7fyORCiawAaIzzxfqYJOrxP5oy4JIyxQP+GBNFuT8qMfmnjNLwfg0Mk0gurFcfLkmZ3fOONnNNVB
mQb+YiGHAw7Okch0Qk0N3Wu/c7KmTMQ2ea9tWlYF2bven3Yz2Kj9oB3jwCOp3QX5zBxnMoyV1opf
ilmmUFjiOZ/4SXpKg4LGeVoCUYSVxRAZB+4VTHK5n7EGh7CMFhCNs3lTsJ3ZUbtH3IFc6rzF4lM/
9G4QfdZLY7E9h7ZWmHrmmd2TAx/rwWBeHOz0YWEpte91UryQf5xuilzqp7oBJcbo2COrGbV5m3rK
3wUoMZe+MJ2riQ881jGu/p1RzMfY0+kWODiCp+9Vt47VOU+87bkJZ/JKpL190iIaXuNhkmfMLvRa
LfSKJ449nsY4IUw/YMa2SCT2nvPInby7V55uz1kcy+uEzrZjTqD4zeQ394FVkyXwZDr7CXggOFmR
Xzdjld713rxlTSU3SY84s5oMsaNFFiRTmfyItFFQdtSEZVfYB+52Cl6hEQNwcrrroRneAmJ6B1Qu
dQiSAKpj3eY7TP5cTxef7qIhuFRJo05On34KYnbrtgK/eJeROLcd7gPWeGWxbz7ifCrOkZ/RSFQl
q8isi58Ql6vLIlH5ccB1fJNFf6zJgB+HLPN2rMfpjDWdfu+lEktvcCDXG/wnkGWxFjP8xdrh0IRi
Up8isZEI8V0o/Cdrh8HxWykOkpM1pRbXzvWW5tv44KlglGrr8Baat56LNbABP7/P59E7qdKO9H/2
jeBJ+ft34iE70o5AJkg6YKz58z99Jx2OWl1i1z3NnYvg1Q8fSWCr5b6ZZNDf+n4l3LvczD07LJZS
PUzkH7uN62eDCOeJz3cip2el8bC8TLPVUWuJgis2NmbW9t2FsCB3sjecl3awirsgiHjlXbt49cEx
sJZYF3JUqIsPDyMBjhKmxhfWH8ZeD4P9SBrN+OySiIv36BMENBHsNkkb4x5IMeFyxMlLYKYsBfwJ
AGEX80ZJE33f1m7m79jEYkRYzPwscS/vQNTYXCTs+FbVtPINfjc8UJ81A4nT9mUsYh6HlQN3Whev
ll2b94MVX3lK+FtrXVp66/qScCubzAmJlVWpkVtJyMqVmrbvtWf8vQKFN23+JozGOsCSrffl0Zlw
p528eyCNL15c22xbit255W+K9cKuUfasXRz76TEdC/0jSGzep8X37V583/SD71u//p4AVuX2E5cH
Z6c5+bfZ95wghto+QpLTmwHkkHWwv8cJtknue7pAKQGu6J+MyPoRO/N4ajQyPp4YAPDwLDbQXGpv
Y6wzy/Q9vvjrJEPC0bm463RDkGk5RIkektBfeD5n9UwOTigmonU28tcpCWdruuua0jlYbceOct2I
bjlNjI/ie8ii4szbZOvkFawzmLVOYzhEmrcWrNq8ZZfDuNYEibU8ghLI32hdbd7hR5moYDOe5Rdq
HHmRnLpwboaF+fKgpMsunEV689pFjVt9GWjGaZhAvf1NPqBu7/4kZvyLtYv1vfT/ywfWM7GD0R1j
oU8I3/qbOI9xI5vshMdJyl3rAkMkvq4V9Ly+o6MKTpF/av2uVADT6yjUXX3rF3V0neg6rck8Kn3l
DnHLNg2S044NAJDwigjIA1MPJF7JnvSV0CCZjxh0wKNULXQ/CwJHPKeK+Ki+LYsIDKjq1zZPMV0L
LE8DgoKOPitjTfSljYt/pM3vrQCPf6vd7Mp2xWNjJ7eVFd0FhRbXUBhHNsDRXpjxI59x+8bE08lg
BhjBkCbEz9Qkosy+jngyPQvuMUlbbDuDywWVZ4d5xLFR3LluZt7ZtZhkWEsnfhKEaw7xlK1WgxFC
H4YXxe5tzvsbDpcWkgZM5p6bzLBz2C1TtSIRIkNHF/nV0prAIEfREVAt3ab68sa+XS/MIxdJZ7iz
AM89LzFu2RoPwFbiPKEBVdNtIQovektQFVAf57ICGFB3+2jIk0NatgZRqkh6aBbZsM+8ebWZOHzk
4EO5/Hydi1W+zKavkg7bVcM0owOTcEWHJSgMJGWrK4ERjlNAz2gX3ZOMTz5KIaPDQJoxjKLKeNBs
RtgUoAQTZ5muisxXBKVTccNqceFdyaWzyAJ9Jhlu0LRZNCFfDoSn4VcPNLGuAWunaX+Yc8QnILb9
zYQ1uF2VnGTv4mrZeosz7WevHd5IaaRPxHytZ2wG1TEyFzPZ1lPL0aRVdr/0A7zPUtpnh1NqKz1v
CGu0hlDFiXfnoY//qKiP5BSFx0OJJq/MVWqbsmCIcaPrmTDTgXSWyec6yOzrpqwfEb2b/VSwoHC/
n0RL0st7HCDxRYFLBk/RmWtHhw0J6Y761BE/4ioiiW89SQyaRsLoW2cyV8mpY6u7ZldXJSqCNgRE
K52zPHQr60N8q1YB+pX1rWT1WC7JOCjvufhWuirLgFRVp4rpM+X0rnacbs1bzHYvPdrSFfENEEPQ
YOtz7EuOChiWrS0foPSqtmU4AQjYd5r/MhnY7iVVI0aWYsn+D3vnsSQ5kibpVxmZO0oM3CCysweH
c/cMzi+QyCDgnBgMTz+fV9W2VNb2rnTf9rCXkkoSkREecCO/qn4K8cw1D63VDpyrMalhUAkuYf0B
Fku2z6TXk8phgAHYG5jLyR5tzhPQnJjpzpfxbu6aL6DY4b0P8UMepC9pd3mDABzW1N4e22hZDvMU
+NvGJBTGV91vXYTW05wgEfVG7e6JvvYEH/+huv6ThQqB9NdzhW9ysGCRIu1IvYFz0Tb/sptDARlz
RqL+IYjdqzi4bvPu3Ey3/74Q/q95ih9q+i3K/3HJt37UBGZTpgD/89df9n/8mvH3+n14/+UXm9/V
6dvxq9N3X/1Y8KF/DMovf/Nf/cP/+PqXNG6PSNJfXurLv/DnR169l1//9Z+n967i93J+Hn98wsPn
f/2n+cdH/RlElb+5Lq4uqr8omWSHQDf+Q9UmiIpk7QqEbiGQMANm9n+6iU2JrE1LmKD1mYMqKdF/
yNomWrhvmbTs4U3mfxDg/9f3/+eDwEv3fxQO/p5D9ej1wEmMPB7wmezfvcZ/eTC83jUaH7DAhqqc
vaYaiSHHtylhYQx0l0bD7VTn360DM/gvr9I/eSDl7w1bf9k5cbRJorQucRcot3wvf3skCdAxHOO5
ZLgXdF+symI1Oo4Du8mdzPhgCa78jOKI8q781Fju8ISQSYAatlylZt98YwuA+cAJGCJ+lUv5Uktd
nzLLITjVpoR1OD1RnUm2SMsbIo1zj9OMRdR2I450HQT0BfHxaOA42cZ9AJ6n0lxlC1gf2Py6axXD
P2PC95EJVhcwa9vLCTYcDAxJflvd6bIseYuLjWdYAhgMuStn7rI7ezYx3c3zZF+ZtWHeFDFWLL83
LijGOQNeILOHmMMbADdG4zsyYOWtdusNSakzsZH+R97wUszBYrJYsnDOYEJSPlhpgAKgWqeLWu48
Dn6PatmPZsylL+jOboWGYKYMAFErAAY0FpA/a3Az5lqMTlJY2Hce9weaaxPulnBtTZDDt7punXVU
D8kLohXO2Jzx0aW03K5D+5JMVkY/fEezFcwgYoIOTSUbgs+hQVPeaOWBte4C8Xi5gfK/uNa9dcTZ
4q6vW9KG2K6B6DINzSgYzrXaScG8BjEOhAp807OFaBTahutdMbJ0rgXH0mRj5dq9Yaf2QxJL4pz2
MxD7Zq5u5pju63BhKQE90cKCIM5WBauGuoVd7YzzecrksAWhVYUXpMg2S4flVM1T89hWyP1h2/Qc
snzbrZ+wRkO/GQxJR23O2QNFaQrqG+ageMsSJy8xPGJYIhJYtWXo9E0wrDgGO2z7At2kTsTyRB8t
+HKkqRi91dLsbrADpb7m72EPJ4htfrmG74pNPE4VDUBDcJN4CoScYIDhhiOU4dCl4eMw4r7HslDV
GdV8k6hz7ICWTaWKzz2gjhv3ydVwxDZLpr1oTR4PrvM8YK/3uh7+Y81w9hCVvY9IxNHhxzgmw1vL
UPoHlcriBT5h8hUxwf3glUnv+rwKrn2cX/mq1QXY5tQZkxck85Skz5jGWwuWC3k2YU43njXyryxW
YoKpzzmkaOrK34CP90dvyS4hSOIFpOUmzvDrxMZnS4WGtYVaou+terHvKlPm7VqZ1rAA4uZIt7rU
2H5QHIJ2lsWquZ0iM3jrJcXDXcqrt3FkVwMWJ/1Hzjz2nqaBCgJ/HM15MxIBfKeku39UcYDqZ8Ea
fG/TrOWOQJsfHuaOgKEHkZfjNN7DL6NPzftkaMonMLLRrTfb/ks1FhZVCnYRGWtL2eIhjjKSSkTG
kIDHClpO7bUORoyRDioG5Q2NeRlbNDGCsbS3pMbw/3tdQQWON/vWKk48D+1aUL9mJhNzWHyMTIkG
GIzIKtO0o0K6u+vU1DLQikVxWvJ8Ni+IUVaRHKypWkHOYkbdaOheZi7zp0xfpnYMSzPQuJVffwgU
E3Lyrl3uSSmR9aJVwdeshJbP+Dnl+/HGC9q8IXRxY5RFgvXbd0eG5i7VPwgT6jYlnfrEj5QTE3NL
bMCy8Zieed09fb7J2mkcRS+JW94WJlD7pekZhzfe3L7YPccMFjOhXxVTizcWc36iEJANdBTfpFoA
I44RhO0UZ/kKQzImP0OWMwKsUIMdDjNfqQFsd4xJ2674CgOmsgi8VThFkVuTVVwmBt2eeipEl+FF
AqncE1MOQLoJK7Be06GfiLCMLlMhYRoV1CioRT8QP8Ybw5XNo9QzTLw+mny5iZiSvCjAgZ9tvAC3
LJMLrSfFvYCWyhSCqociWVxsVp2ODyZ6IJxVRJwrkDwiuakF2YoNaBX7WE9enOz6wh6CozZGxrN6
NHl3dXWZgvZqM+NdRd0chZBvup6RXxVt+wocG2w6H6io3WawNfH5U9ZmX0KFPDiEMFoYVbDKazwT
TLbAWQMT5rbtaWIioTRdmHxzB9i+6ykGl4NcjkE2NWFjyYhYdde9+ZNhkhbt/Ce4SeVxYqJLbEOw
EIv+kmhLNDtoXo36uZQmix4DBHVFMZ2kR5mi6Melyqm61nnCuMF2Hf+zrjzvnksLphbOjoD/IL9Q
QTD63bcep+S28xgdh3iMh80kAnUluWeCZodTadPa8VzV8aWrQRJIyHy2ndgrLmb/ajlhOIVKx73t
RPkH3RV85e+0TVyNKonQl4WrVwsHqZ/4RYorBz+S2oxAaogE09BODLFxfbGPYk1uljFP9C5iLj2r
0Rtyfa49zXxb0s/7TAuO4ActizQDD4M4GTYm39scJfrlktx/YPltbmY4WbuYseprzf589oj3w9wv
rOK1HOfAXpn94mPpEN4CWC/jvhtidyX20V9uQdyCRfemRu6djs/kNZoj60Zg/fuihQIJM0qXR5c3
0gcAmwg6JjDn7VwXOwt6HF6oGlDmqqN24XOBcNeE5LdwBgdQxzAQ9J51mxKOuq9JQB5GYeXFuZ0m
/9Udk+R7yZHeQzNpyWGacH554bLkYgEfKNB0DsvsUBJRx5F80ZDN39ld0lvmecnMskULwEyhD1Gf
dT00BviNts/9axGx5ZO/XJwZ3lAFYNvAZ8e8YnTXCBs9bwLoO3NvZO+tFURX9VQ/AygHY9YRiUyw
KzAjJ7m95WCA2WEcDH866cTxQEeRighbTVwZVcjJMOzPWC9KXgmzjLA1osvYwIAt+dFag32qEoL2
q9k3yQFFddCjSRneeXTMV5S29jGfbeenRFovaH/jMdsEpFNb6KIcEnC5+cO39Axo6i1eBUqaU1fe
YVGIo+0IN0HjDIgBUjOZyXh32iMKmFL2hVMw4ebbCElYAMj3bNSnkSn5sxpaniii1RUHIXLcoQOC
bd8VAvM1EXC2SzZ487vLAeuyThcx17oKq6QxOvO1l1KzgWxaTgwa6V1dYRIwiU/PpT6mLXF+NLJR
Mtt30pyclhRh4+bDm91O3CWLMTXeYsOrvdDudfY+K5tVILBKkjDmYpj3lWyoooinhrMJ4V/1qHJc
2qE28I0edGSjF/MIkNTIs0zHP7Qt7DtRFYvcFspTxSpdClxjI0SxA2ZIn+GGRRzEAXwaQO7o2iYI
7cH0tlS8JM+MbC9VEgsnti5KzFVO1QGqh2YeHs3M/ShjXAB3mcaHNuPmVWBxx2oHkc6wGBMsEluU
LLdOimpF2x2C0QJsYG5i6xoRi+i35xLKoMaFOju9LpEi9jGDqQxipXRus8YwNqqs5Nbqu2LjM5Fg
y52iGx25QOV8kH1bpmkfeA/MZ55E+1ulfbbpptTmHVb7wY0/dh1us1kxrsJoebeYOq03YgiSe0Ob
5Q8kcl4/3hRPqNksV4VtIyjIPtPPWEr7h74bLmVSizvrNfHo3lyZuhm/wcuNH04CaHEFeiApQxQw
gcWe2823LamSQUhKkgen0TVbLFYgGIW2RpU36MiKLZ7CFQHrKlmbo1bfqYGg2Cxtea8WFpVVU0XN
uIZNhysOrgT42mgYZms/OvYs1zqf9RF/BOTEtigJyzEiWYk8IWPsOsDT2MaqtrgqOc2X63zJJnFw
u6LbxKaX3jc5iJUavMVmQU9cURyySBIoeOiUxWCqZrCDA7Ad8QoXlUdbRxGRiph1WioeYi94qCNk
QlJTmpMgGyVZsbhjAIT3uCWHF8MOprKjQZFZY0zmpfWd+tEcynKLJJhTX5w34oSal0yboa+CHr5q
XzzrkWggbS1j8pX7McaM1o84FVVGyRHR9AQzl1hZ9ZMY7eJB9UJ+WpRl7JXWc3OgebB6qbgZ17Ai
uuw9c+qYpKpBFkrpi0ZnG1WBhYJoyAlhluNhUAWazhuoINiqVOSwOJDhhURb1+0tKjADRJySAZhm
esnW3sg8K+ydjgidD2rnBHmDVKTG1vXgVx1OCaP4qhZKvDEdSOBFnelH5ItKI4v3rhebR69T7lU9
TBwhkwFwzDEtpThGHfRqlmU3PwyZ22EJi+H+OeQ4+Dm6XPOmuSHzajnioGRMy4pRZ5+e34tuZfup
eeKW7N7STHIy5SJWqq0PpWUtV3OS04zileuBy9emthV8MafYpTWIVMuMLRQ277rnDXCdUmoNdn3A
w1s4gnsDx4+unvoEB9CQI8UvXCwW+kXo6cN+MSlBlVyX7qrWrG5h2pc3pe6oUDQ5NVL5o7uIf0Y7
xbkmVrwxYIeuyFhyuCAue20HKGUAE/cAZMww43wZ97m6qbxOPImqvAAQBNjHsuufK4oZwiG1vLvJ
kxjrmkxv3Wq+9hNjVmvLHT2qcObgAEbZiTifWJieXSMQMJ/a9GSauQKDmcoFB1RREaqvg+MyAeEP
ybpR5MHi/YWdaNdK0X9TRpTfxNMEtGKqgtfamOQRez7grNaLPyUbaOjzAsF7qvkreKkhdKcgEjZ8
xty4QaPyfeCMDRLxlPTNQ0m4CsZORC5XAap5sMsEHGpUYe0PjGbve8n0iN8sf4tG/L0MgrXxTba3
6t/snGsQB4B0srZVJMWywymiqMZ2rBnfphOLQzo2xadhDt1Z03WWriYkTxPzhSk4DeDIUVssGwBQ
Mhlg33fQJ03ZIhm7auKOI/Co0/5m1vC0TE4K6/yyZzYSdANuAHrPVlLZKl9zRuqPze/LzsCX9jp4
DlxVCj4jsZ5ng4diAlfjEkvlmkDbtE1dkFX3UHAbf4SAbaME4hBS5lfjpla0diyU8rXsZXAIsI0H
e8wrfRzSUsMhGgCI9yVj4Jopk5xTr3p1hT9nAX4tEg6mo5nRJVA6GB3wKaV06Tj1fhht+w5T7VRu
YilYEiMJsDumUoJmTzyt/Sotfe3uUtAmTZgV2NqYT1viPHYNYOhh4vQ0SOhb29qYhw9wH3LY/fuj
z38+1PxlxPmvTUd3X/VluNj/OhD9f3M+eoEg/GXy97/NR3+8fyb6/T9uuvfPrz75ZUj6x4f+MSSV
1m8SkAHCtbAEHuZfh6QmkjiT0Mvs1PpL9Mf7TfIBAcl4urhNP/hL9Mf8TfgeNgKQRoAE7eDfmpGa
1uVT/XV+jl4gSOB6FpNS3xFQHH6dn6emEcxLvvTbuRgTZy06LoewepJrw8jEU+IO5rMk5YJTDb7b
OeVeYB5l1Qz0hqbZPc2Q6XXHHZnTqtLOJ93CwcNSDUGzi+rY8s4sGGPyFEOaJKZg1PJpikj5Wo1l
rWeDXHkviruW08Cj79YuhdDjdN1U4olT2kwhUaUeUrcpH+Klqj5H17evO1Fme8tpJIOaJTl0cTne
lBjperYSd67Dnjgo3cIJYjtIEpogXN3DLB+4tkkSlZBKR6lvA8osATmlXlEfra69q2Y89nf4BGsb
TXEp7xshWSroZ5zuS7OGrLQ4inkNRv3LQMu5ZKXA1+K1sjEJfRqGxIqj24rJoF2yyZ8xhgXBcYos
32eY6FjdrdZ584k1CttQHMz59GSYcfBJRc38czFVDdkTZbTcDL4N8yJThrdNg4CLvuHlVnnt4mq5
1AK50/cArqxmcyzbN7R586H2sK7ayG+3lsNSobLskDDcNY6NkTRiB3bQ+4lO4UwH20OwWLVRR6i1
SDyxrJKZNKg30Z5gZjEZgMiEukiWXTzQwJS+joUTf47U5n7MovevSoqEfUh3AMajBLNP6JaNOmEi
H3YVx3Tik25X7nhV6PAbXEhKRd9C2G7TZtm7U64wowzxmfxEmb8tPBx34BMNqFCiEkejkzk9XoUV
DgtDsFUTYSA0CYelYTNefJixBxrN5pjqOjSO7TL44EejyeKzU+UfVDgZ2FVJoa7TsmaUSoztXqIS
cs1dOFMWfN/ctL0wM8CAhLEz1++kyXF3p6P9HRelfHY6btpALPrcfksarsxM7Ui8jPNP26wFI67J
2GO3jPEgmelO4BBN1gM55JM3lHdEhMhsV11ydl1NT6/vBq9dV6Q/Yo7x4In1kuzawZdsAFABw1wY
xcvUzXhlDcsF3uqlWKFD37Gg8IyC1jOi1cXMeZbq2ObYVzaJZrkwadNF3J/B76XrrKruZKbEJsX4
1e6cDEMz++JD4TjTa+eAwRcNB50wUNJNwmnqGfPTrC3tvaB/4h1w5Jg8j4xQU4xaCaR4Lq00tBDx
Uuog/IEpnhoXSl3qkvD1wcQ+fKnSmZKXXqUz5kwzHuptzfBjPrc6NoJ1kqtWAYe27GTr5B6g6MRQ
5nWPmOgzc+u8VxuaH8w2GWNe2kXl6DyDH2qNK9fpk25LejYZt/NFWlmTd7I0qStujFuFBVOss5kf
NGGoyqVYnOKqaqZIG+r+j2jinBuabSZAZwb8rbtEKuyp2o9M9TzwdEnyREU+b6PYIMWeKg4QYYXN
m6dsUWzCSTo8iKxwDwhZcXuf97WG1g6UOvtSk27OU1FT8mO72C7QR02SAXyhVkhAKqfncsCtZUdR
h1eQK4lYx67/Ow0Fuy3UK6OD9jea0bQul+K7C8D3lp6t4k2UNYQ+eDK5QTUp0zoz6JxbLnzVVUVt
+adnYL/eOwFI6ePouN1PqNUdiLSEKSXHthmoAX/EIjFbjxWmq8fWKTk9i9x0thjoOLAL+q3DhEBY
6NOXmobLJWq6jghcMaBNIFmuWCB9UNrZ2NY0qwDTN9MmMvhD8FuYdXIymFnVqddpquSPidH6cw1O
jUmaqzTTLis/cmtAP+EwMiPAW7FxsROovWcO6scUtAHBe8ZXhB4TRAvDm28ptdChk1TWXTlVFCkq
ZBykmSquDxFDmR6hgc4Xs9XpaSB+SSKgax/MyrKfUe7V1sTtjiE98LgrKe5SJVtkuZkNIX7OMfFx
27DmbBPTwr5woFrGnQB/c25wGoYVQwVGFHU5IoNUDXXJ9fjOiG1+Q0Bynno6aQ/eOGVbge/zjt0y
lbvW9PsHMnDzz5Zz6ycikHpQXam2k1vdByxLWF6pb+s3yVTfZ8xL8F6jQR3blsvhjillvDfLFlsl
g94dQMgsDV1noI2LqqM02cpiWjriDt5r7Ff8WInD96fc0/I7QGohQk48gRZvsc/Iu71h3ULkqV1h
KebHJDmKCSQIg756X9JWtyFwqa5cyLWIhKRmsq2mLZ7FNeb4CiP3POK/p/Omis3mDBqTCpq+W+rH
tlCFj+yC8Z3QYeMcGsiBJwC+ENRqXzqkKARtwjSkOrcYTu0fWZsH11WHGYQLrfxga+7OC11zr9nE
IH+l8HgdmxmrfIk3nK9Fs1C59tzdlcCMID86U3DN1zK8ldAunnKz5zI5qnq5w3uaYDbSDRkvDz+o
n3150ioewYBjXYjKdLjip1e9YgZZ1rM7GLsM2uyuBmq+TuvmEyVpuYHgI684uVBHFlQlw0N0uBbT
CjUmNYyayhypNQzqifcbKce1KVLvVuCmICg6BvrWHI2lua+IoBwtp+7eLJNIxSYGCcAAoyaxBT4G
gwUDWmyDHkWSSDy4DWbsv/bBTar8pVZxHF9rZ2CIIDKn+kmF5PBBahC0d08I2SBQFWnGQlwSsV3G
kw/qWDOLo97WPzYSFRZ6XM1/deIawBtjqoBWwvD9iTttWoUuFDys4tHg3jqZRaJE9azM/HDNJ7S/
atgMDNdr6mbdct1wMOOeBz91pxc1fLt1QFlGTjh7J+xk/HbVQFO6cpuz8jr/SI1Qc5vX9bQggZD/
XbvFlD0WVVvtkrbsT2lCR6+A63EMOp9PZHYpeESzKBKqbno2G27REyVihBMT7nT8IU7SIdh3Wdkz
NNX28t4G1Cxt2kuDcKqN6GPoZx9Vqp+ANcTSIcRizZebLAm2DpNuRorL4sOrkG4log2l31dYPEB8
cTClvBqDPR6nVMboiWOB/sHnpDY+yOq3IB9L3m92pbbc9ch9RjmkITBPzaUj1oupgMIAgSTrnhwo
Vu/2OPYbGlkudZsObUUk3kx31ZhMNXy+pE3MmklltxT18wDy42MRdatXdu27ZKzcyVgFGKqA8+r5
onFUD4BU+Nq6rmZiIqFCh6pJ+0PVLrG9sZy4vmHV1+uu82nW5bBTNyhjUfwIcfKy7iiWyR4vWOiV
ATGFLuLQBKQmo7XGnnX7JtOMrQae1XLdla3rrJtxHt+HoXY3PummOizbPL+2U6tz6D0sCd+inwhx
MZHNP4bOHJ2w52r+GC9D8ICrMJcYtQIMCEDX9lUN5Go9+7PzIgJ3Su5J9Ac3rYO6uGGBkajkBtvH
RTxDG2JnvqmoDT8mGAAhWJWD3NvUrw9hzqBDr2Jes71IA5q58WvTdGJ2/i09UQRnZaWse49dZ914
8fhEUiS9t7Ulb5SOObclCAq3BVL/tBXB4vYcSQwBy5UBlF5BsPHuJy9Ir+mO9DjkyVxfE9bLP8p4
tu/ahoV67+EwRv5FiN+4E02ZrHgEI4ueXjUtsy+mOjRxlYn7yHW+Nre9MLw7MSrvrV7QSkK8qQRj
W9I9DCfRyxKv9l9zQlQ3peiMn7Uss3tB+016svqhPFWT9r8DiZB+XuhwgADXu+WnTRLqaVGz3hdL
MZ185mTp2sF+Br0YYnS19bjA6zXpGpHsSTB4e+A6xqMXa9gkRd/0OzG4w6lMuiD0dSoQgd3G3ph6
7MawsijREHmpKNMsJv28yAgvXJI1mKlRlXzCO+m8pZ6lOQ81QeC1EafdRlVxeoI2Kg5mOb7MghLk
KK5TiKJkPNLKat+imvY/tqbmOCe2PKRdw8rjxM5tqjDbudqK41WqqaYTLF4MJpMnKwd643RMH3kK
Idv0wXftUzXg2d1hxoi5aeUAfQpI906qpIZ+qqOvCNX3Gl8L658OLkHWmduhMTi7uhwwvXJEIFIw
T2Bdgrq+mWn2OrRZ029NbRC07FV+amN//FDk2W99Q0cyBE1N5GX264dLWHlL9K7fqyKI3zjO9IyF
k7u0YmnuR75QvYDEVS0kP3+qo1PjTumuoY2bJsuxP6OssFMb9KGoVAET8oaDWUvYYezEOXxnNXzm
bSXUJlMFRNgMlHfWMphcV603HBUPCO30uqOhzho4LObZMejz6X2R7edCjoc7jRNdtlNuY01SRQdP
dx2KrLVQcxvH2ykhKM9rbIsfQUp1XOL/XjdIyqWLmaylUJ5vh1IAG2znuTt5bT6cgdI3B20QaVxL
cGzXLoDgsDAy72zX0QOP/a0HWHuaxyd7UQ6aXy5XEhYoug/SKFynAGZEjxaSE3NcUZiY/EhgMEMv
0GPxhMCIKhl7Qcjtk3b3oGofPTHM7+AM5xtvsfBaCjjaP/Ti+XvPUs6hjmjH2QFTcljemIbRty6u
86bvrnOGbruoH/ajaXecAMcKwF1hj2+cOqOwyl33hcT0BNqj/1EmRXvqYS6uW1MUVL+XdvwTCU/8
jDlukC+e660etQR9bywA/oL+Kium8b5M+LdJG7u4gqxx2xbk2HhEDfdQLqV1VXu+eqDYjEBMnw8o
OoUxvDLxdI+DCfinKkema9ruf0o6zbdF4M8nN4jUfRRTjybkILYKxNm+8zxnaxum9yzBHeVQs+N4
Wk/gRsSG08hNwdNIfG5qCzoCR7PcQBHBY0yKssJeY4F0oweuTUKPWxu3YcNu3pAZzHKdALb49gss
Lg9EZemfMa2q4mYyUMA+sJt8dpah7Eswdt5nS1q9zXHHeGK0LbwrvpE18U2ZNeIpSqea43de3jDj
tN6sxPCu6Uw2P2m8rRHCnAIGQ8PP4TByu9l6fsFFwl/m9ClvZwhfhmwsBJemr6r9HLeSDDSz9g14
veVlShr34DMBOsxjD42F2qfqBhXR8vaXAcl7TKZ3M+WLjyAwzRSo287AHjZUMDvNXovVoCYnZH9p
7pPCH94tGrdWRm+We+Izb11WAz7r+4ES9jHO10IxZ+FeV2BSiWr3ofX1sO+rxbZ+xOT0emaxHTxj
q7cWfzeI0jZINxgZBcAX7e0pa0mT7hp2TRsNr7gcGeOzwvibUlzKCzEE5OujHsvXKqMF+bsR83gl
Fyd6JqhHqVQCVAG9a/Czl5Q6lyMTnKreyqxFpLPw8B0NP7PLBxUNy301mJN3hgs39Kc6mfN5vSS6
3KTKoN2WqcRusP3XoGzLYNNyfdvZDOeorVpSGlJt011+cOnssFGzY22VYrKdx70KuZoZD42kTdnw
lj682JfpRKynN95ypBVZ8j3n1I5ldg0kwvkoslE+M5lBlGQ/4iTduLsKwtiVGzTth9PBioT4Edvn
ub2gioOk+IQpYNASLLOUIrakwwdmLoh18A7Kjmh/x8CAIbvVwfhusBNjFW7UD5DM/eVaOMbMIwrU
+JXEMIOW1lejWjVNrKBv9+gyJ4rAXGKAhIw5DmcJDpFIEL7aY+ynkoZhtyx21GiJdZe7ZACdrhlf
7AiCw3bq6449h2rrh5xxoIuFsBivK64v/C55/D5MSh5MqCZB7lFVWTrvBF2hVgPbwk2JgsYJhy1K
+yhqKycp56MKGu9nXpjNMx1N8oVaxGrG9pcYN7WEXYxUhnIK2rvXW6kHjrApTaMHTuIUaC9NXoSR
Hnuud1Ur2rDJhgaBOZHxm9PqZld5o3eFYCIBTValhFiK9WTtptL98Jh/GOvMguTqOUVescpb8iXr
DSrwTG8kd0Yi8aZ0hb0nFkOcIhvs4q6i+m6vogsaNum4e5DjIuvFjwQ2jZldBDFAfrxJSjuHMTqR
Dmh3kVUaE+IEmIDmkAVdNG5GArQ7kqawEKIiml8njwsW34nsn0aNyhx6+Eb4rv2LY8TKhwXPDExb
2ilwCLyPRWI+SMKp08YZpMc5IY/tk9dPKIAxkNx3i9oJ5hbpbJhbmH/CCMsJk+0x8McFlPp4qYUj
RyMpY599Fx6AmHEc4IXalZCNjgxE/HRbSeJ4TGuLT1yK1g9UTuyuRX4RZbADdt51Ck7tqQ3c7LlV
gkaCUUcY79Qi8Rrkho/5APefiXrPo3IcgAFVEIkkGZMRzsJDmXbc5meL5Ud7ZvYz0mpgDmJZrXVm
nSBBhMTa8IDmbmke5Nx2xD1kMNlw6qdxWafZ7H907tg9Fp4FzTtPqWeGlcBIbwUZhgRqQvhlxV3A
yIGRd9gb0Art+B2bvH+arY5ZaRpk8oq4Ma434DstC3YWk9coWf+XdV6hkq3dakA+gofJwMZLiNlS
BTU1V1lZzIohbT6/elEWrRe/HV95J3XWuRNi3MX0h43nRliY4pTh28GaRHT8GWGAS7azRZ50dclz
tCHbEuvKXJFveMzsyTkuQb1YK0Ge3wsV26RDkAeAvUP+gC6YSzfh1Ah91pUxppdbpBGHTTe3SPBF
XWQbK0mXWyTDvNnhjqwQ6vOgX7eC9/yGrGQEf8qIVNgNGSwokWF/Unl5MRCIS9EAq6oNWbecKTRT
YjxrgDNtaLTsMmEBurYIiRswTOp9j3VgSQJ51S8Dp3twETAmE1x4axCZeEskIUePJoUYXLJQMcMi
6J4wn4y5Jz2KFzLaFqX5TWJY3nXSN5k8ZtgCHaMeZvoJsyHnbVw0MJGLpqOVmWWT+p+hNW5jrhry
yUoXvYk9ernAcZFTl+STjC3Xeif9hsWj38i5de4mS630jimuA6yvcts1MKf0LsdIu6dUN4FGnM/+
U4MUelr0FD9lZcJJGktMdlO0xUtj2NGmTn0/P2RsIptotPAOtMMUrcc5qt4RdIzPOm30Q1YQ+16D
PoFBgbF20KeCrbADZ1GU9JoHs9y36jLLzqfgg8Nc91OQun5cxExorcbvjLZuJEfDRGwKh/ryHQ2X
gIvtXWj+0Iu+TKNVW6YW9nZmoHBipOPAs3LHmx6a2sXfcQGILb5a9jYP7t3QquYuWhBwkyw3U8JF
McBG2N4IPAiU8Lstc4aHMTbbhflKvF0UvM6wpEqdsUzTe8s2cjDF7iWPL67lerKZW6aJyq4YNuSa
zl5zWs4Nnn9v38+ujTyTUK6KndwyD4NO7uEoeCGTRP0uIphchlOvG5Hhd2qXQn0gyOAtC1rrhTPZ
TJwlzxLvPudqghU6R/BOIeA8dJYpHziLYq0UQeIboUCKMji2te2z54v6m0A+Z1G7Yw4Qwr0uvyyY
YXkobfyR9Fgw7G/HtA3hYoCKLlnoOVF2Xvn/9dk/4iYPuiGF8v5ZgnZN+6FLP4a/iqyXSCJa5T+i
Qv9En03eu/eepOsvCZY/P+5PcVb8FuC1FQLkpxS/iLMWiEW6vQUU+r9VqVnWbwKvCo4N27IDYhrE
XvoacB3xGPc3Shtc1FnbsogjAbD/W2Ll/5ZgMYV7iYr8EiW51Lv5pm3bEmO64/9NnbW41MyDZcwb
/d/sncmO5EiWZX8lf4AO4SQkN71Q6qxmavPkG8Im5zwIZ/Lr61A9KiojujobCfSmGw3UIgqZ6W5h
ZkqKvHfuuW1l9HvJjmQ99g3esjmyfoXLiRXCB2nWeiRAzuTqggXpF0JIc7R4Q3kRv99YSMrXfEJD
ee4hPwoUTY3xaSqWwyBhJgMuCz4JmTisEjboRSijUQ19ZyOEfNEsOw4Zc1hDeYdXOKPriQAClC8S
OC6jhQyMtZUNdU3tfOURDmMaAyjbQ8mhOjDgrX4jfxyeiT6UaFlvSX/rv/SktDbJyLIbfWznHdRC
dBlppBnnjuopthHRQGJ+Feu0kA11NVyJCyZmL8SYzl7iyHLHdte1XfbBObhAZry8RXoPW/nKk3rS
d8yLeMEox4ChHQKmRmMcxZglx9pKrqze5MpQXLA3A3q5XjO9tBJfhQnEm4sFYltfqDli3hyRBtq9
kpuGjT4bBrYuiNTNK02YEw8wrArZXnPDIT3WY8W9EcKOt8+ycqe4rSFwvxoXDtBo9RS0Q1hs/kCi
1+2CDg4LRMhQqrzSaze6Gxf8sIFDtOsWIhGHCmk6jt/IgjxmydwhpYuROYtf+NNI+PRhfRswKi4P
dlZBRc4XQhLWzLpPJw5x18tyNiA/0GGoYkQMW1lMM4qxoZScTAIpuG1YLas5Wt+AbX0xzHizaiJG
LzR2Dt2uQznbXwOFTzh1LkSoi93gthhHffBjN2joUxOMl1a9lxFhKZHX7EmFwJo2RHu8g2CrXJ2A
RoFEXWl2RGGLodgbo9u2a90sCdWHs8E/sxsBcEUpFgdbJBR9dhBI9tCI5DTcMAGppAE9U41IJiN8
Clw2cX8uSC3VCsDMYV1/lU2gj0d+68hYiQuc29cwh2tbL+njqUW3FOJxOFOzM6Os1qBmueAy0k4S
YX5UHhZsDHsdU/+IARlcu0dsh8F2WB6x/pBXxtCfXvG4AiCPCZtCnT81Dft+vw0Qe4edHh1dXG6M
mPS8YiSQ6PfggM3PGVHVybPTfV8avGLZAbvGQ1D3ILFlxp3+Ma5D1s7oU3mfdKKaHuLCnNE3k1ju
bUHMHK1jpN/g8ocWH7EjDRujQA22n0WYX1PcRG/0yJxJrUXS52+MQtQNPbNCrWuvwroRCC8tfc02
rUc1RZW1EkYuOb3gTGw3aVrYV1zNI1rGiGCTXp+0UD91Js+EVRPm1nVdMTReM7mb2IUmefyz9UqU
T87EWoVQKsCFXnGNWZfAFyvLFcGzNmfBbqYwDGNzidys0rpVVkfxNgys8YVVco6OJHEdfNp1/sZq
m88N1ch08lDU7ltWXp4KkfWPTSgTjnkT85M488Yjih7zlgwIRJ7lmfhq+zLfYPPJ8lUieiPfcx2z
nvQ8bU7NNKAmw1vgbaheyIK7dEQkQjIC9nbn0SJI8jaMPkb8BfAglIb3q1noHb8emXqMJR2TEFzY
laysoCaMlBOvcvQg2VdlR/XRrGfP5B5K3zZpteJT9WXvkSKmyGkX8cYBEYcCBUocuC3ReniOVKkd
AssAFse/ng0P1RAHXOeAJKmEBe+iVImZAKAlbngk3FXW7cbJ1LnazaJK1in5X4IvHHOFbwvVvPTJ
hPEcKwUNxcDWehg4xZPLTVKsh5EPysojGrEOyN7aa4fXoPuZa5O5ynjo7+x64NczepljTXy0XYaH
ySgTePO0piIq4sDawKHzCF96/rg8IJoMY7WXVmPzGfVMj8d+GrYUT0we646xowZLt6p501squM8n
jQzSxKVoxSTQYZxm6yT7M1Q0d0SpURN2wgBfQ4lsaSdrNpJ32QdlT1uh6NJrywxmVAw8cvxEN/MN
EyghVzMj79sgTonguzzm1n2IVIvnBdbStW6zoFh5dsEYmRzV8ORNM1cHO9ZjOA++8/Fmrix5l42L
ao6AGDH8uCsqFIrTwtEZdlTdx5dSQZ4NpDUAE+XCMHCCOFDGgL7VIyGzKXiaeb7uxCTdsdHu+WWe
cf/jKj6MY1nFfs/5oNkbGrX321bZ3r7IkvhLjp56oaGULivKrpDNqXj+5MyZ4W1EocE9jFlNidkv
bnO/75L5oBdWmu4bm+P9Ko5x3kIOzIZFmfzyTSgoNRXcn5LbBq0FB4TaNN853y5hEYxRjxM493Up
Kjy3Mh1hJqyURyvd8ED1jL3y8yjL+N7kIv+MlsU7plPomVuhkUdNkDuQEXO7pr9OkUY+Msl0UREn
MNirMIWr34+yc7+dAf0Ro1j9HGBALMF3BiJV5QwHsiqGEIu6S3RppcOXBDe4iNmAWF1SebeTK+E4
tcGJroloeG9ygWYSQzvhuoejcSBqugWtoSsMyiZYgBuTh9w6uEA4mK6WfMNHsgA68YLqGBdqB/ho
8bwb+HLaBeshyROw6wf1IYoF9UPAND2IEXEtz5iFT4URmijE9rOhSxCo1nni9yN3Nk0VzlFXjsBK
uxBH+cIeZcTv2AaGAElqYZPowwBTYmFp+I6yyZU4wXzU1ExfjVjYJuuCOUUL8SQX9kmW0bwfc9GR
62T5v0LmQ+Y2W4ipJCwZCEAItrs2CoeTdoGrhBzaDbp6kCvqY5xzv3BYAOrhlzXI6C1qpkftgmsZ
F3TLWSiueOG58gvaJZ3l1opsiKcki1ejP1hFKz/YHYMm6EVmaMceVIxqFiQmCz1GdSQ6tDTWHzOC
UT9tPWrKs5mo/hegJPBZSAVbfiPbCCgtugBqtjGn5EPdKie/tiBspZWOH7Q0eV+DVcT9c0lqLd7J
Ui+/lG0KpEoXIM5IQB6P1gWUiz2db2MYegx2rYWlM5kaK443C2IXXHA7jeMcYZILhlcUZv+gLnBe
nGrEDC7IXnnB90xAvr6p0vJoM49mNesN093kmIS1zDm6JuWCceaCA0ZjTXn4hRG84IKOhbbEXyYX
rLJc2d7Gc42IzQ1pnE+0eB94g3kjLOo4mM8M5YaMUkewp8o2AIEh73LOIF/1QjHahRNtOmdA1wn+
yCka4lHTCuBHsn0u0GSRyeJ9ugCSPGi9xylOrK+uVyaKRqsubjqvUc/dSNAouaCWZjplV41ROhna
zVB/wQatP0vOaotJNNx5WY90i7I87pX25Y4plusmkq1K+WZaWZ+8IHFQOJKbKaFg86UNmneDeVPk
j33G/TU0KOqFXFIv+uV+yxCYu64ddBw4tHgqnlXYhY/D5V6M2SdiwyPsh+H3xRkfjfHKJkn53uVm
3VpYRJCh8zTm3j1yJn/Xx1n6HXfyZLmca4a5SGkvd3YWydzfxeUun17u9Rjmu4S6kOW+713u/tpl
DmBcZgJMBHKHZ94yKxCXuQEtHhWcCL1Mp24ZLDSXGUO8jBviy+TBsHiVR5CX9/XUhPf87s/7uSdj
s0qhQZHtzF13G7ux5XuNWZ1E1phbYxl2xEw9yPkz/6iWYERUu4l9aBLSYS+5qvDzeUYVwIxUNSfC
2RQIckzV3VoD3XrsXFagfTFz/Wg8UsuJEk7Ixu+b/mfaodDZdg3xNyYrTu0t3ij7rEavvR+0YN6F
LNFeK4YSB2bRdeqbskjLfax5mlyzMouxoaLpTom5adpb1BLpODKxJyzembnzNJi9FGsIC93087on
YZu5DnNeXrTn0FouZ6XTIGhrPErH4mkMsm3JIJIfoT2/0cE7/DT4KuQ6gZHTfZfvd7W2TDbQllmP
PxU+Tvb7emrdxBEJYw64PGGTueew3tXRMTDL8TsP1LSVk5Mdap3MxZ70uXXNpcENjmxujY+kRAGc
6Vxn1hwymG9Gs8fQeU4hsZjIEmo1EE8aPsA9wl4F9u7xE6MTK6WCY8OHWaehbE77Dz6+8qpJM3K5
kY75nmNHEe4DtqY0h0TZdhCKji7yVfmNITgMUQ8gYv3YeFEgt9yIhbkGFEu4VXG9kYh24hndbmr8
tFteYP7cdtxfGcNaS0A2AzAIKFefnuqg0a09BiJWEnFTRF+9qu1DH3X6Wz4W7rqJ7HqfVjzmZ4OM
yYouMZ419EFtaARiOG+7IUgL28DCB/0DiIIIbX5amgqw3oOJSb2OAAxd2K4Qn2C6DeiKvZvrtmyO
CkOpWDdeIMmzhDRrMS1dKmuHkIRKD36HQjciX+JWrgfl2sbeF7Vb7gPj36dooYlXDDrJ1BXgfXk1
O1viN3BqqXCPS6kP3Isq0GXF1a3TM22u2GzW7PrtLNtMcdfc18FACKnunIVWiJvPhHb0dusZXlvv
nbZYAMKo/araub/BF8FqMTcEiz+7DNnLGFCc71Y7UBvGz+EX8SCIa4gPTvaxvCKrL+/YWFoQjsFw
DYJ0Ch2PCFlmo1mB/un3qSU/G3YHtylVtiTQClwLEbckQ4kdHkVOvL00X6DCv/h1IyCaM9zuZPyV
9TR0NoGZ01eGoDRPOCFjsjhbuVYdc7vhC+rL6tblNbyN2zr8yZkiZ+kST/LBSt+FYdsbWIVl4VSY
63hiF69bJaboQlQPQdWKXe2Sk+PBuS7LxtzRXeF8sUvW8RbV1sGs0v1cuMQ0ZZcm62qsim2S1+ZD
resTiJMrPiA/ixO5juGdXAc5kyAlZua1kxj3WUoL1oaH5PA5d5JlGrWEi+jYdo9tqjh0KaaOmd8P
mnq3U+ni4ZbKvpo6StvLkTN9SrBnl9A6sQep5rrfV+nt4JrTmSJIu17ZQzZdDSg9PMbY7fw9JQ04
RMoJEtwjdx8nW8qryaDrWDaFxZ04I8hTpWJtcJL/zrSRIo2W5TUvk1flIe1YzaXdXTeSh2grkzLx
K9O2g11eenS06tNOZW66K5CKrHSyOmR8ZNU+cdxVDCimBv/r5c5BrnKtGjv95ZqRR+oPPJB04Pym
w4HfFyVqlBWD+sZXMO8MzUWHo9XmccnkZoc17TAYYbWLMl3edEin+RcaXQ2haFlw2NFy1vVIy/zQ
aW3gXu6nnWOp16EWwOwTlLGwHfueuuV2r2A87zIYl9UootyFU0hfFbXcr2wtqzXbwPpM1EinDwHP
Jpwd47NmWFcFBDwnGvs2Ugt55MTxkX0MBb1TtzdH50y4DkGycqzTZBv61jYojzRgl0jbtzZ35D6G
IQu1DRYuZ0s5Z4wZMcyveFAlGz4y7gvrG2JTYa2UX5hgF2AnjzgsYKxi0Y+PaEApE2tKdofK6+wb
iGuXEHgip+sh03CbdpR6lWaRbREAq+M8h5VxGvWkajdM04jeRs2bBrb1aEvVQtaruXmae4/TXpia
L2pMxA4GRvBTncW+kvz86yJsNw6MRniEGcg2YoiGdW/bdrWz5tT5oM77nbB57I9421mmzPk3sFSw
4/lQ3qt5YMsUB9o5M8ELrABuO+HFCixRgG5EVbmjtaP3YeIB7DLnXNkBHRot14F25bFH4eE82PEJ
a0lxcETtfovWvEWQOfgN7B8HsmC6ldYkQYXbydfBO1fL4CQhJL2LxqQ9SLTO6WoqZ/ksjdx+s1Pm
/U3EmyTs4pOj2mo3cd8gC8jBlpi8PX0gGjSfcF6IX0PdadwHPPsWTHSX4IBsz8hv0+E66it6EVMt
2kN/fypse82GZdy45+g9/YrcJL9NG9vYk4tXm5pF+HQnUopouglNkdtSQEoPYcRJCo7H4DjssLVL
k5i8ncul5U6YOTy0XdAonP22GC1eqv/qXfg9jP78T0/V3/7f//H437qs/h+PfQldOKZDB8X/erOw
fv+q3//xXnz94/wevtf/2L/331n8z8sJ/c8/5Q9TlvnDMBFlIRxlXyB45/5pyjJ+EGAE4yee9DsH
9qcpyxA/aNXFhoWfRLflkg/7Y83AfyJMAyOPJQyWEII6qX9jzfA3H6ple4LLoPQ8omZ8IeJvPtSE
5MhoggJsBmoWkmTcSSva6sT+09H6vaz6yy/VPwj73gIitw37kP8pbSaoCdZ10m0sNTy+FX9Nm4W8
csvKbgIGwOUWzgPXlNojbyBQa29nT73l5O7b4YVRhObMNyGRBj8yX3GVrjDwnMas2uLQ2//TT++/
MXbpf3PI8WXwVZmGhUeOf5CXnsp/UoUFVVx6MlfBpoqmDa/VQ8bd2x8MZ4vBgRfq0g2Uw2fJrQus
QRRoPQXWgkxWIK2+ZVR3//oLMi7f87/sfVhcoFTTbRNVrWeLv8k3c0bdzJ3CYNPMdFHixTyEhW3d
U7gT3IxRJGC6teyGAUjHnlfOx7hcoKrZ7lZJ2qPPiIqfWl3Yd0GrZ4j83OBkWfEBpfK2GjvUsMXw
0xk/GYKte6yasiyuJZNt8saYEFZTYaPXQNsttY1Jeo7pKUkW5h7lvFZUXRSGfS2UtibPvK2sYp1k
WGnpBOii+Ci1+8Eo7+cgXxvcTC0wFZtDiYbZdOBMXAjjGErck6q8aqSxR0q9UvUrbT0HLeLQ3X9o
nIScjsnKYB4rrv2GtU+9577rX3oi9yvucZFfjc7Bap+DoTu4E30Ufbkz65aYRQZ8Gt7N2B6d5Jy5
tk9UwHftaZM7wdGO2nVKztoLsqvJHh5IoBxN09mOjbmXtIz5Xd5uVeJOWw1TuWE4awPUkWEM9rb6
uo/klt7zkdIC1+LvzIZNVfZbU3Gbsl+k6x1R+/qsAw56xrmTnLke91sAHT+xy30Nu8XegW8Pf40H
ra2G+5LUOz/PVaKZ+65FUDNTHEqIcWUk9VpXH5FzYxTqquDyw/XJH3jXCeEdK4tPZu9uBAWcWvyQ
kmDS6vNULQeF6L1Pgo1lfaix/Nk0n1ThMMdjQIEYsQkIg023yD32S9dj7jrbmDJRXCLdGcq7eojb
4GdIyOR6UvzknC69IV833BszZS/YDbqV0QYkenKr/AxNxeUIriuH7qkYzvN6/27wjt8ZeIHePTNm
Kmfay4cGgUCsB9GBYeGDo3eszRgJH2hy696Gvii5t3rhjn0JUyCZifA5rxaxGrvCFfaHGd1YSjkR
iYgufwDw7ra6bJx1WyNkZ8Y4giVV6Jzebeqi90iuOovDSh8uL974yuzMG7tu5F099859a+Rqe/mc
/v+X5P9m987vvfiXb8jbrkjeP/75jfjH/+SP16H8wXqAIvrlpahLdul/vg7NHy7vO8915e835X+J
I03jBwt5hzC0+/fXofeD0nqdQkTTdqSU4t+qQ4TH/9vSXTi2tA3T8AzL5v+svz18l8SNBIIvdl3X
N/taT7v3IpYM6FwzuCW+2pwGJaZ1xpwL5J+RmJ0X4aEe3eTkiUL3MXq5z24x2V9eLUiuoFbaEg+H
ZB+S8aSlBW3QlP2tai5GjEFJ74Tj/C47Cz43XmP0mVZyzE8aBaVrJBuIvEqw09qLz+ZEwWw/x89G
aX3ByGAytPNj2lRqZ+SZvrjJyDmqqnN8VnHxJk4c/SmzY406Worjj+ZsFddIWOebQnfyzy5dtqau
JCBM/eOev2+4qWiy3hqWxlizAhZ/NgSSslpD1WVNHdJruqro+umydTjztwaM/yHf4oWlFSYzZlWG
L1beDAetWBqupc4GtcjvqjhlDD9F7THR6fUeane86TTX3ZVEGYFxmxKlU8oO6TYCntpr9O2dynDo
OB80tNbzzmdi3ibGE6obrj0j06uE4sgmwjFiBDz/tdy5Nayif2p5bX6rLK5fYzlYd7kAMyuF6zHm
U6aPpxoFvwzihz7JjYNHW1rCrOM2Yk30gLjCPnAx7E4t3R9XfeQWzwOiSu5UgplqE8aIN2mxUyp5
H7h/naPI5e2gYl1nqMJc8sHykvzsVGgJLaIIXCk6v+mkepXMD3w0MtWnnINfUzK589rxxhe6YvZp
ZB+7zkg3caXrdz3TmE2Mw+k2cQbv1ZJjdYWoh6ZERgaHrpuzLysVPWgivraFoLXPFIBoZxbBLvUW
nCU+K7tTQM4hQ48xmkhzQkrkwgrOA0muPYYUTgq6q7Nf0oxrNTnfQX3SjVcKUgRzfM97aAC6jpnd
NOuZvlzOAklXbVBShNQzMmucV/wQ8lvouvTsRXODE3qenow506FxGeWFVskwuZmnczZ5wToUvWCC
oPp1yG3aJzA8rDudHxDxQcNb+uDrEsaravYiCoBDCxQmmSZ/dcD15xazx0YZytvC3430e9Gn0kLQ
nKXnPJFYX8orbKodY8fdNlPtPHo48rdVlnPbjDS1kg0CJd/GXkb8K9Q3SY2LWdEkvJ0LTfPHqWMj
PrEil10pNtZMC0/Iqu06l+W0NxBw7bJE5MQF2LIy6sjNAhrWnavrwA2stZ24vt3K1RIj2s3IW6pc
reoEdV4/wZ4a5Ycd0RYNqnEKbRjqqhPpXTUiUasW1DdtoBmYpm6Z+cmdQY3WyTWE+5bG48R7WxT9
nR5zUJBF9WbJ/KNAdmTPzVVTOJ8JxqbbOUjdPX1I1rbGQ8bDZ/kT6RUx/UEfMr9iaNJY9y7uVFyM
HJAUm6uH0IvbFXqUYhXErEDxk34hDj1jCBo3sjUKX+84xKHT7l6icgAH1fHh16kUNw5soF9OhX4S
GO+PzLqsTddWzjf98PRCltK8rjuTD5Nw9E1APPnBdOh4pdKQsPTkjX7DNRcAqJy3/B4XGxcVNubE
uRpfwpz2erqto02WNs2WsWF5HOGXFmix2fVlMh3S0oYo1JtGHhqaBXZBF8y3bjjb29AxESuaDAVR
i49onPhpTympd5uoME7JqN2lnuLyHjjlqpo6a2d04GArSwJ8JDjo+G+XE0wHM++cPAt5qjJ4gXKd
fXhAglPe0B+FGosjtLm7B0YpPoBTW8aPS52jl4p7PuTc9GMqBFfZoCRjDhycTzIuHYQGgAublA61
fhVYEdQqMXQXnZprbpM+wUkFuvw1evmTOSi1oYl3p2U6J9+02WdWST8HaMYrPTh3iATPE1PqIEj8
iKC4X/cTpr3ZlckrIoyZeblLKRKtKNuypA8iqDMPqmGZX5p11DD17/j8t5Pt4w+Nd21hi9vGyTap
4LwdUSfPoqrHdeZcdQmWTfyZRLNN65TMiGgsz30o5p4ITMm7m6GD1T4QJInXeTd8pa6Z7ocy1NcB
oFBUxHeJKfHyJFBG8zIcjWnv27blMO9MvJU70+YJToPT7I/w7CDpc/8NzH4X9c5TwkCQFTV/AKmk
anqtEh4bdG/mib3vJRbChkAGbWEMwrOgJuXRzDAbwfQTNsS+F5KIHX+6T5XDPujDtzblqZ/Fj5z0
z7i2NqXGUTxHtb5paK9c2fhS/WhsoqtaE8kRrMY6OAl7/4B/8xc798y3hurOdaxoGeMtsS/aoHoI
M63eTapjKKz3PfVceVRUr6Ai4UnJqb2hZaM6lfTXfueeBTNKXJ/X4BTzQ82LbcMldO3MjXffSHKp
INAbKbrXzkDAmOSnbkjms56H1yVdWbxms4JdY9GC0am4BOZIeKhiSmLZTHJsMJsrAqEQNoAWRtQC
1Ccm0o9kx3iZdI1K2CwCSGORndtDDYyHSbLCT8zolf/WNxkcz+ZOnfJdzAjwPJjhoK4qlvujic/N
mQKWU6TEhsA2TjYMfbHDB99KRt1D+05RdP2dQAcw1hYZuZ+Iqd2EXpXXGwDeIzA9uC/zEC6LU5pT
2JvF6m7qRbueKru+1rjNre12SZYQhhXPPHqSNR2a465RVEMOxjTshEHt2LzsQzpSOj7CKPmgpdHI
fnaa8x0xySBam1HzWMEdjY1yb1zN7qoVkYvnKYbbq0qOKKGovumPGx+rnFWqBkS+7Sz6dVemmXt3
VO4+j05/W1K7S0t9dG7jmk4CUGC6NV7xVD3VMzXNZpGad7rtldvCK7gmzhOtPHgs480kMuc1wQC3
KjlWhHb6mUTWjvDpfm5QGcTOfmgHrsDsxcP1bOVcnBBRkyxngZYh+iu5JG51ofYMz28hZ+5TEX3y
Qnse6v6rsa3dEsQ6EyxT25CBgS/JdbFamnXeu5zCgoiBinTWiZyn66qxhB80OQXHk6XOgR1tM5sO
eoggp1l7kdWd2WrNNHkr1jlak1TUqQnzkcevezXNDah822vWhiM83g+dU6cVnZE3xycAem0d94O5
ZyAs7jjFTQ9lks1bqx/sWxo6OAknX1bIATYfrQ7/JDZHlXXXkkTyUYtAqBrbZgvVGDRnVnDbgREv
BCBdTKbWC594/Dsu6IoEbJZdDe7EKzpQEitOibimkeO6nCP7qhkC7OOapY6u0xv7isw97QPJKddG
9dYRzlgsQ+7aoNSTptyJAg6HUPx9rdzqxgt0sNCkfHezgq/Xq5fWiDyA35AHxc7Hb1T7qmT9Dsxl
r2ODZAIzqh1y1uQYCF17sXHevRb5oG1iSLengg4oejzoGbHZkfk4ubRvYg75hhOlvEPsF/pjUggb
eKjm/q/SbN8qtedqIfcAhZJvah5eoSZh6ebykgILW5tt0b1UUauuiAvVbzSq6OvUVohMyP1oPHgW
kcNAvYIeqJrfnZhl8pQHPtiTtpUOeNLMcmdX9V3wVEyRuoNIcRndgGWZdWWe0c1gG9QzZhBGVrzU
YU1yDmJyYVKnexYkYtXHbfZVUpO0U7Esfnm4yHcjgmxqLTlBV05iXSHxR6FCz1j+TtIB9U0/JyTE
Btc4YVqNH8KQUx4JEhU/Y3nilZFVqMm7IDzrNObtMO2Js07ga00mxyTg0jSHYM71vXCo5imsmcS+
4RhrAnP5Fx5Z70wO0X6edJ1hezugeja75g1cIrxPURI/lAg+j4PrLiAfoxe+9Yb0K24C+CKBeptm
ebkyoWgSazvXdsSBrSHyRGv7np7C4eygcvLloIqz1ZDZYxDpbOYg+B6KATfdXDH/KbKJoxvD0m06
S/dNH2uTjr7cvB9m2WzGVlensEkk509J5UBr2z+5sqrNjILxu2rBpD0ugIdocssbGcbxudejeI8R
hAO5VahjaXqCt4blbVEZubpvxLepNhQbko/UH0HKHGNNR0mK3uBszPUNYmdjYSkagK42P7ozPNqq
MrxDy/D1yh7q9Bf/omoTeJVzIotvETluSaWz8vtF8+xni7l+5WL88iu8jGu9Zn3F38LWG5kvJ8Yi
OAVReO7TlJOj7l0bmPnWmG17n2BU/MLyfFoPc/ZWuuhioamc64re39yek20h8skvjWY4LeNwYrTF
N6GQHbYW71S23rQJ6shbVwTdn6OIsk+CKwSnIz5zLGOh21kp0UzQ1TqQdpmy5jOKJ0rzmJaVon8O
meeuNCUesMIGWyvYukOw01OVHoO8v0sGuXbCgYfLxJFciC0g63QmA6a2LX2MK3MabxKr+eDXcySv
miNuZt28tqeasFJLZH7wpLWrZ90soHSXRajJL2oW0IlQ438kAUeNpjiHPD83mTAg6JUbb0uF4bWv
NGPDPS/Ys9rJmDbG9V1fZTGpokbte6ryNjQz53veFMlR74mYqT53b7p5snZ4mlnm2eF175iCws9a
hMd47FjLE6Ylx58mONNwHjZoBTzjBUOmP1ouW8SMpS75q5Asj5b6HHz3UXmVui5zy7AfrnIehWDX
2tg/NHZSvCHJ5cNj0iL+WTNh06hsd7ClUEw1Cl/0yV1e65T9WHbe5ofa6iHTMMcSOOAHj4AlLc5J
m+g/eQPWbLlYB89RzReepAqjfqzjsUIk8dqZc/BsQAxvVM+9ZdXGBAxXeTFOB9wx+g6tRbuDUJP3
dNSnxwmS5WDjmKVkwrJ2XW/Un7JOYFcJvsVvZem1n2Oe4yWpKj6MPQ9PvjXeKVB6eUAp4+49g07H
XiJvjMumXfMHWK/cpQdGx3H+QCTJOqeOwbpPL6hrlKK+MfmZ3hm5wRcDPPQcGsN3lSXGhpsQTbyi
128mnX8ibeX5lmn2zA1sEnpNoek3vG31TW6RPOT0gTF00q6QzuAXgs/bOhwsVp6utFUG6ALtQWqD
Yzph3bOoPOfByUZtQzJi6U0t82uRi41Rz9i+QpsnVh/Ge4jUFMcKwXivLR9Hmb4Tf7iep1hbJUP8
laZWcnAUrWV9bfoUaahqZY4vDZcfyAboZn26xmbzs1SFdiT1F/3eT/yfnnv+X2R75EVi/cuJ5v17
8t600Xvxl6Hm7//VH0NN9we11ZRy87uA1MBhyfS7DEd6P9gsOYa0SfDIJdDz54rPFD90HZkjoBuJ
IsNc/qP/3PGZPyAKWf/ZpilcokH2v7Pjc+Xfk0S6obPbA9X0ll0jaaK/bt4ggUeN4rRmK3KZZzst
WMKQRmZz2mu8Uh7I4RFYaUbCRTvvEqNU0piLdb6kK5vao+YsN0L3ZPSpuR3M0bySyA5in5sO0UyH
fA4VB5fIZtLlRnflEeTsLpHOVDlDu4NPZhLX9/DhtNcQgu+WRGhXD+SG2ALJQ+Q1FSb1Ls+rncQE
/TbHI5ZcnWB4uEHxxgkQexeEvCiC8Io9lfwwleo2YELDbuw993ZOdcrdoBw3wE0pAEZabirVpfe9
Qdq9N4QGebmEXUUWyI+cQkqKpUMc7YQYCcXmNvDYNrTIyvbCSV4yGufQWkKpowEaUGXsnD4fH5ol
YwsFRNxWLMnbaQLZqUCw30zXGsm0ggWh0WlqQTD8Et29xHiRFuLfzi7xXnmJ+vbEkFHQ1iQeV2Fh
Vjc8eBUPFL3z3qpLXBh1HcROfIkRD6laYgkWxAm6APvNRfFFqHmIdFoXPD7nTWNmdLlcAsoaJIh5
oqa3KXZNQfb4UBKY8sl3dC9d1zJ0IG3T8C/A8woxx1jnLL6K5MNsu/RqTqzqlvmc9RXpOv2MHSa5
JWBNhnoYVXGswMBLHAADjTvZUD3nTUFm/xK9zu0O828xKThwgQH8ObrktNELgfPQRb04RazyXpdh
ojZ8BeNzP7TZbVGp6C7Vm4Q+O+L7lPARBzeXYHjyOySOC8JxYc460uPuEiRn7NTXR6kPuubTnkLW
vPsP9s5sN3JkW7JfxAPSSSedrzFPmme9EEplJueZzunr72KcQiNP9R1fbr80UCigkKmSFMEgfds2
W2ZEkzgYDhF0eU2j+9dkuuVh4FxJdHjeM2K6KwRhnIt1DyYC2O5UrTgcsqSseGgE0D6WALx/zcJf
Y/E6G8aPxO3UBR4CbI/4GqHvr3H6yJ8oDG9Td0Bkagjr7JdGPqaxgZl7212z+CYcZtiMvr4wj4lF
wVEvadIyDdBT0XP/pyp27ff5fA8Rzc4ewWuwEvPZSMYLAsDC7HMeezgM+4z4LAhxCqw+sP6nZ89b
GAJW2bjfWNC8jXVlDKC/dac4mFzIceOCjidotQVS4X74YQL8ILdI061LSgtBLvWaFlpYDiA/atEc
lT12yQ7RQe/MkhD4emDJxilu6MJH8hmkEOoo8d9NHKxvCcbSHxRJO2dv6Il8mQtZIVkYC06p3nSP
fxGSPBPF1FnOlyeJ0tyFQK9cNKoF2OAv7Ia6mIcJeLN2Tk3vLKHujLltx4ii32UZtT+iJGSmzK5Q
iOYKiBDprO1DOgnAEaFr8p0Ds4cKELicb8/1FTRBaBqfXGT7bDlH16fjY/wnmOIKqcBROgCoGR1r
IyoBxsJXrCdXkDH5mHPOmYhLEpRir8gF+1U6Rkx8YEFiiIWOgeZj0ZYFMaPgE84MjUnoG5tkeYvd
Xu5Hk/qkyMd1yFYC/kazkDjUFcqBDRpAR8hR89OYCxuwotOCGy39i4K9+sIVhcUuhyUZXJEfPEym
j1RP2S3wXZAgDZEmjyVOKPbS6gofU1n/nTS0V1PRXK+nhS1SXDEjOrE048sVP0LR1/zEzUbmz1Si
Bl8qMdQt/nzMFy7nh1MLqP0dxBDrJSpZPNzVWW681Qv2hLC4iQaPvk/IvYKLwtGYeDaf74tpivJn
Z9c+w/WVqALpMFWvzpW0oq/UFRZnk7d3rjQWQpw0CkDgtcVNswBbvAXdoq4UF2vA958z4GycK+Wl
vQJfIL+EHQgYe4HBdKLSX9kCiNELKkYs0BjcYMaTw+0shypeU8gK5wGjKYkMsYX23n9Jn/axQ7zA
aNgIwKUhDdqz8eiA1SzYmi7z2GlY5C62Fr3vxaEJOid+Mp18lPzdIH5FbYCCoyOV7Xwe98d0FFBy
MK1y/hSDaf1Ex/TugM7Zn4bR5/diskrcAKN+zWD1xPd5xBKJH54zHZvwofhMFkwP9v/RXusF3gMe
hIxR3JRqS1IPdbzvs8F7DhfoD5wIkW9kDuNX/pMK1IJkXgcJNWEO25kOZmsg2RGUXg4HciELyX5S
NeuB4F5fyUNeTFpmozqPu5azwInaBVM02GmA5Z6hSOR+tnYWnFG6gI2EIcQh1H2EKWyJ4Vmq31YL
CilIO/3RTkguqzBfsITk8hj7l8+hsVL0rDD3N/YdyIhHDVtuY7v1WxkCOwQoRmIu6fCcxzI4x/iG
ASG0zs8xSsxjCL8BQyYpha6vpo0zxYCfGF+D2vsFrvBHFzoGTtoMKn8A43mtkayTlQxH561LGbi2
ZQXMBEJcCzSUbehgHx1XovUieSXVcXAgFMPSL0Fo2oYrWT7hKaixfGZ63o2NgtQxRupnWdYl0S+r
s14juEA0tptdLA8DmIbxduby+RlQg1Wuh56jjhNBY1lGuZKkJCj/2TeTA6QsYyv6GnBvhPSsx05t
gICjtGV2nBxLOJDbiJrtx1TCVpJ9QBoDJ+V3rmLxW8VB95Epu92M89T+MGrK6ZAWnHgzmElJe5cM
3FuPzcqq8KldY4tAjefKbAidXqakNIwXB8oiLepDH5drleq62Ig67ufbGmaV2OZcMDTN49AAWBF0
trXtm3A8VrFh39YwFOhdHik72tLQQ1GAx4x59Ge7/aXqgEWSm5GVclSVHfOcvN+aO0KPZ3w01d08
w8chadz49KNW/sUEtk2rq6Vpja1amwROQyNt0Efdj0p0cHMJi06fJrCrZDM5mOfXbH8xtmhY996e
YQrwcWcCUDxSszTv80lSyUNDeXJDJFqA5kptb7GQu6c0Bw9WiZLxFuJs+8ohCjZn6lviu62n5l3T
+HfKsNnT6yMU1lgeSuNt2PgL0pZ9vLH2LBlYhAat5E57WCdXtis7AIRGNG+stGvcCyNYjunYUnjr
udnBX2qWpx8DOtyv0eT7iYxULsDOWKxHzAzY+jHpD7Spvtr4rT08T3F5VEA735Oh1skBi2b90ONv
JxMXimba6pj/5YX90AQ/3QrCmzFpwfnZuLm/WA/UD6LK3cegbbwKGczt2ID0M1J+rgXXCRFDfmc7
0+aub5NNg/6BkSuKh5XBwfRBhnI462CJr9B0M0crbuPylTpAmIphGQEnik2As1sV0XH2Fsqk/EX/
L8m3tJu4XYQk3ZstYf4ZQpvusi8OCsHjRC9ueFFgwGjYqKka4GPjs0ZJ89iD3lcnSCvcoCforUnU
vaaBY7Hw4hl9pymFOxe6J/YNjvVXrqX1OKS0TGysys8eonk0XkRt+q+iH/Fn977/S1Ok8zIZajgr
KY2PyQxwvgZ1Mj8MZYJzyLQ4Ljh1JxyMTG0CO8gh3TgQXDyasCjfyngi26R5xrxhP4EoS9yAeEKY
mUm6L9HjMdn6dEKtQ7urMk7KJnsfk72bAgleBM2BfUN+cr2etEnZR/aRGiQ329UmwheSBE83CFJR
Pe0DlmTxae7c9Cy1M9VH7SzslTjJMMhpP/N/9+wUvtsGYXIJGhZi2zJLvTrJFIF8i2jvtfZmBKB3
zdUb4VwDXgMlDXpbspP4onsqvOinNL7KpvUOE9CoJSU6ZxLMe0E+csQ0x7izwWRTqnfWBJZ6lJC2
WMtzpZHyppVPEucO9BfVI6t2Iky9GzoQWN2YedsQzK2xHwvHPdp8nrgwZ1ruLuQ6aALRtkPX5wxP
iGINYMArLDjPJLLr+ZQGE2FqnzPBfaatucDIDwRYXODjw/aO2OpTtqxCvcW9SnHv2s77nkklK3Bq
xbDG67q+ieaS4xFwYnLlwqpy57ajgwOjntX20Z0aPO1SQBUEwyFpWROMUJcfOg9KxEVJziQY3qnv
2Pv0ctm7dpyj+MhKMYbNFlZNfpBNwJofsOnUfuYz2ROfTBjlf5OWwScREsomvTG0vEuYdXYAKT4e
BHmdvoXzJRriuWtLTDSkEMMR5qft9m23brpmoG4zqBYejZz8C4/vejikytInZ8ot0HOyJQdJ2dm+
C5FmOQa641NUAPQ7TjGA9V2EAK/oD9VhclM63uCt0bxLqL2paHekM3tj04WDuwfR7AckzPHE7KpE
8eyioAoXY1HrqRZgpmhcwbjpgqKkXCxrP8aU43ZVj1N+k0En8UAnRZJIpzt0qjoVJsTzQ0AuaFp1
MveiVx5SbnuETVpwzDGH4cJeR5lAdOK2z1/AKTnJD4vPcPkQ6m7aFG61pFbx/THatW5/n9S+/5Fw
uAOxNuEC2LT8OmQRm3iaD1bIZuYcGWwItiqQnsOewOt2HslDUtyqMc5xnn74CYuSVW0BKozSimei
E1Sfhj0iGGfmfJ8Q2UsIImkgcykVK5k/0I452z38stGtok0cwEoTXc5jqqAD9DeGG0McLS9hMkJi
WMpRsmj6nsLGtrEcWqwZ8M6Qo6qBQ2oLypV2Q3uJfuNJ6u3acFaDkz3qsOXeRKdTeqbfvRCcWgKc
JoEiDLMOjbD/0XpKL2UBikx66TbEEidG4ewQtw1RsrafwteWzlneD7XsRLI4REx07UzcYBDrww1f
bSKzF71pbOqk9GFm5NFIa0JjjvsxJD9Uc+vH90+654W8GRNTmlTNV264xRFMkrHOXC+4eFXWLvyX
2XIpSJAEc+dc4nnMQvuRXbGzj6skPyZsVmdaDHg5XDDPZ67L7plX3j84FHfy9aVnldthbo+VWYxf
YYsLc5ri7g0faJfsQcuJU29bSyWnP+FuU1b2EQKQq9YpiWtz7ZWWmRO+khXRQ8i12a2vNWYdygNy
f2fwi5EhTf2zYjlJ7h2+NCkmFQw1+n/nQyEP3HrTAf+HywJloMcoDMQW67Dvbv93/ZqLQPr9R1ri
L8F0QQ/9v6rxJgbgojT+x2GF5688zggq/NR/Kpd/fdk/lUtF0ACVEeoYTApfOX+kE9x/4KsUWOLR
IP8SNYsS5g3Wfvsfjm+CTjJt3/WEkgiOf0mXiooaKfgq0EVAaYkX/E+ky7/3eAMvEsrnX5LvJkwB
benPgveGmLB2R4KI3NbvLRY8q9SoP3OHSueGE6TRpSeHu/9Bt1SX/PFK/TvBAJcgxb/ylxRQKFdi
BLUVlA1+0X/95ghLZjLwMdtamQGme8GGG100rZuxxWqOOQ3NIhFUOfcRlBwzBrJsmd/cakPavqDk
bqPOaXFuUPNy20s2IDTGyTMTPqUJMrZPdcNnP25a/8aOWzahzdSXhwBoz0R4EGRLU3kPHLtlelMx
MKxr1322UTbWHousW4D3UMNnHvl3TslOdaPd9oajaxpj5cepJbt5t2T5O1avrX3rwal4xmPA2aWC
//9AUay4CNUazx6VmfhAS/9usCGCepS237BzRDIzjOkliekNrj36AWhCoDMmc/WeW4o8+2gE+yVr
eZypN1/MlYbB0Rjod3pwPFiKnqzddtMYscYPSljRPtec40iEeXawD2POsFi1AJpwJFWfGOoSYLai
Eo9IN7SJtqyIuIMbvGqtPR2mPmkvHeYuprM6yh9wnvakjSfzAyWlZSqSRjGtTY4iRIbFMLwD4o9S
2D5D/lTY7ZuuDQnfHSOpL7qzKpyzT8rxECZNe+gbRXCrNj5dbfo3pnZGl3DfSFe2brVYpWlCCsxN
EMgOcz6OtxpxiDcrTc+9Gqm8idx0L8AF6HVSq/JSsG44YmRFweij4Tmke3vPpE05TcP02dIKsp01
b3drpeYX7YQ0rRdVG8Bwycd9avh3OWSaC+p6uEtJmN/YBodW4cmCuCbPb89o1cGCR0pxqPIpN+20
dZniIarWcCi9NUUQQYXFEGNG1uQzMBdqHUgA0lBjCPg0kB42bqfbNyr91JuXpuZNlVRc06E8K6vG
jrtc510YZ2tO5c6NPTX+cw8uZBXlutuQK2y3NkxnBAq/QoerCXPyDrbPHiZQfyUJYj6psPUtAoBA
1ugi8A18PnCNLCpROGd9Jkrb1q6i3oF2Rgpv6k3aktLdRtYg050zzzQ524Nw+l0ex/OtKjz7R+EE
3aNpF5xCvKTL9lOB+2SwA+8XXULNkze0/ssiauPmi7TxCX1xvMQ6d55tvIvWZizH2rt1IkBaW6rT
y4YxXAZUihhGvXchiQIIAwkS8oCqaSPp0nD4UU0jhtCexeslaazG+lSqnSAayWntU5AJpmJ2kx/t
2GT3Q56wJQ919tzGQkLQr49tgZJATu/3vJy2CZIOxM5t6oboNf8Zj21ymEIZ38A+i47ku3FoBRUa
e1jbPfZWgFmmjHmk6tHqXtxB+N9JYAdHo3TnjSE5AhTtAPU9bHN5SM06qTcx5sibmfz4doKD/Eam
iwW1HizMO7P8Cua+2FG0Ef8WrmWBgB8KkLK9wjjhW185hZf3lqYyJYgCXsJRtS/MceU+66mq78Yw
f48SWb+WiW2/eBSXHaMW3bviER5sZLoQTrROh33Vthlr8yIb2zWldVbzjYZXhOfIbkL2v0mmnBeB
oYVWbr7yvZkpAmIU+h0ENsxwZzL1vLWAycwHSAQzqIg4mbZwygDwRigOPidatUl0w646NGvGDvpM
3VXLyrnZjEkff3GljdOqCGA1Azj1Y3NjQDjeEqXH5xBh7IT/Xw0En2xb5yRDa8+/dNWUn2Ybauau
dlLGFGUIRSGNsj6lIX0Utbk/1qYXvLU2rJRNYvQD/N5iiI0thkc+Nj0VlF+cmZcqFeyiZ+oQhled
FJ13pJM2DjjlpfMDJUVLNRDwqW0AQu6rSMbqtsOaKU6Ei/1tb0wf02AUYkP9QbAv+sx4KrRd/cK3
S2ZmLqPt4Ak6gU2tMQPhMu5wLk958c7FjzkYGyXrdwQPmOsUhLA70rJGLq1JxmN69OqFctvV8E2d
obI+xqqnNrSLUmuXR2bhrEAPdx9GgWl468EOeQPRbr7XMcgbs57Fd6w7Ab979jd+Nzc70Cft3YDC
/rO15/IWg6yf4OykcAln9wy+KZuDcj+FzG1r/lp8RkFGSgsrz37Gp+siSzh86Fel09UMtg0/QJ7O
6WKmnFEbBwugMrghOsJWaZtWWNC1w/2CFo4425fpVHRojFLna0iM80g0b6iMPcZtZazovGw3pP3K
Vx49AWwfBDi9Lse+eknjbj6nWAt2vGWYtBPV0VaVjRdshzzw0Mb9FeSI7gTLi1aCLFqKLCihL+45
kmtC8Xwc8Fl4mFPJdwNFjSJ2+Z5NCwU1BRzVMcBDSbzQKIp4gfhyzv162Ecpis+KvWxSrPHPknby
Kzt6NCy6TRH75hZmWj+YywcdF+PcNWIbmr76Sd0S162e6HkCPeq3vxs4MshvuAfxwI5gZ00GjbWP
6vWOH8HZ0E/SPRgpibjOHe+jwfIfATKFr1YnoRCLyVsHQPByKgcEGkhBZi3y/ObSRmF013otH1vh
Gs5LBi3pu4fex2cmbjwQS+FEZH9BC60VI/3KdmRzo+boQiJ6i2TBA1nXgELMsuIEIaLnfqSPCEw2
Xxw5dXorSgPTHqHpWwf6AlUe2Lsfxw6iCIKgeY4C0AV5noNgZQJjDl4Z5YwHyqcIzwyLDQfYb6An
csMIcwesylzlCyzESSq+H1/o7vog9054jMv9nLpinVcVPWSVPSwLjELdQ67Di+G20MQ2qaBzgsmt
Ks+AbdQ7Tzk8MSUXFecgDkK/c8gUt+AIxuyoYpBYrkhcVEg7hiqI1mqGRxHl+KlE6kBEaXXzi7WD
6vaOirtvfW3kzK/tnH1DUScmRfOSXts7a/qwaPK8tnpmCBotRpE8GI5LwGjhls2c1lJajthuTHQe
TN2s10CfWsWRT/I8rHSs3zoMlG9kkCiSpuUKXZOjirvq3AWtbirlxNukNt1vEOXegwO049WaF5h3
3cfpiRBTZdONyOlr27QmBVBh3o5bizAefVqT79/XbTXfpmbTH5rCc/45KZpCJHd26Kr3EcuvuR4t
jTSfKuIpx2CMHZwvwMl487iBV+tlDxOvoGI1v/wUayC0dJEDFB6S6YkMF8RDTuxId8WUmPJg0op0
0YYftdspLMtLlOTV7w4KKbf4xKLNg/eF3VdARxwzt+twE8ODKttLUw/ZcFfkjkvPDnsTcoOoTPPW
CWkCuQvpUyWbGi4OnGqaeYGS1I8xZXEgljs5ReKpbwKgl8DowNYnvRD9yXfrXu1o3uXQUWb+Sfde
pjj2mCMnYJd2G2ty0lOFB7vltCbUMw1y4o0uFxed0U/6k+XgCczpqb/M3HSoCeFW8YJDoC/O2HiI
GpjxUA+Icvg+Nnj6Go6sIEHO0OyML2XU8Qitb0ZQ9UyOUdtBFG3MnkS1/a4zXZbTvCd+c4qmIHjL
aGd6JfgILQL+sauOshvCY1Y2GpWpNn6ZVhIg1FlXDLZRHKeRIX1dqih5ZzVL5RVySffGu13d0L4O
RWTO7e4ouZkfgjYT59nBG+HLoLvkuHyJ0QTL6M6vvp34ITTLVWe8rXqaHjdeRI50lXA80hugUPK5
MwXb2P9iHrP+nsxjyvRNy/VofpeK2DyT75+zIItvOIWxAw2bHhB2K+GPIi6eEJDebT9/ErLgweph
LOSQ+dliQP8vctm4cf6Fxrt8e1L3ihQVcT3TXP78j5x4GrQiT8nhboEA1SuawooLL352/s+nzutE
+2f4e/k2PulvG9cP/1wrW//4NlM79wIEK9D0kGWS7sF+EEC3DXVwItIU67SvcrESPvChgseTIFcI
GHdlsT98t8ZJ0gBT6Itb5d1jSgrnZnnJ1i7+o1tjIFCBEaVax4sCSvVf4nX3CLRl8P+jsf8tLLVF
Xl/h5SIz+h9rMswhoKlT3GQ//xRl/vjav4QZyn4dwQ1bofIwpCzlvP/0lHneP2i7tQRECc9Si9fs
L1nGtv7hIMeIRcaBsIDd7P/IMkL9gz9QLolR23Rwgv2PHGWu93dtxMKYZrE7gB7hcOA3//Zh5IFd
NfALxD5MJI4yD2gCqHTJOsEPPPnVToF4sCYTBA28oHVIE8O4NiESi52Nw3o3SI8ZF3Yn1zPOsIAW
SpCbLxrPWcFdfA35Xm4it86OHmafHxGnz6OZxDb38S4kGebjosD5quR8NKZ8Aa97sfkYZJa9Kzho
3gm4ZausBuJD6wQ/BXGOaJVQbrE10+FgFFXzKyRAtWajoIEC5LG/yXxL3Zqdji8hiPrtJIjjGp6u
d7mwoy0+7XjbQmw+07Xnr4k+Ui1oJcY+Smz/Z5KzxFwtx23YGQEFVpM2n7w5jqk7cus974xHM8eY
eisYWJAirVhsTH/JunG351id0b+1ikTzlSmLH3QIifDkqgYzEfYT01Xk9GJlSa0eBiA7G7euynv8
N9UPE0raLZnQizO7n6Rfb+YyXowK2WEGHdj33nmW0wNdQgmHV30PoYDYTcW05CDIQyjbz3CTj4NK
RmJjbBJAaBp5dVOpcehwHQfucyc9l9Mn5hxzQxj/AUrsuYGohLpNyCQoJDY5VSqeOpwfcEmzZe1X
hRblFzet6YZaq+DTpzv3mMyqup9bi9DlLAz3GYRUfWqSqYUnapg3gC2ymlOtzYFddanJLW4p5cxH
D+t07R0ABPcvvS1da1URsUFLnntCOYaFEU8Zx1LUxndrd8Fap1IwHrH/XGl6gt8GajrOPDwGUJ6R
veYwBBICgkf8k4xwszW5Kg9+VPLULeGn7U0Y5Z+9FC6JR2KCGRrgj6YqPzqcPB++z8Lay4v0MU+d
/h6bi/taxmC3WY+YlyKuvUtCV9GmtoCGNu14CcoxvPTmWOyQMo2DD7R1H4SYwTxjWQKQv0TEc1Ku
aJptuYsHVA7RAHyTjc4yf6SC3icvR+CZmxLYj5V4rx3na7GmaTU6lnU8PVGDSBxqaK17YWVYrkNZ
9V9Uow64N3CC2TMbUjqYus+BoyaV3OBp8Yraz62pMHSooRzuWDg2nxkobbq4khlHEe0esr4lUopJ
Phjoad44mBrA8KXGNrUHvCb0ClWA8NJxj4ucb1NId7jvXTd/ZaXYDKvW4K2oKbmItm0oWAEVvV2e
55DQqc2K6eQlIP6MmHGG24XFopIUyS2BZkhks4Oi0s3dpXd98360UNnQFeX0xIbdOjlpBwbdwfr9
bfoivMO0Bf9IWInY9U3dbuPRM5sVGwvjnAfYJpc0bGnxTYvkTsx2QWXwnN63rPK2HUy3bZdZ2cbC
vHnw2MfV+47H5IOqhuBOeU51YTSnQLnqlrpoj9AmPBE2vL6bxReRBGLnlZN7gZY6nk2U8z3knu6C
BxT6U57ln7LKhplCDaCWsFJfqsApgahXdvBssXL/YYmZKryh9tfpVDdPsqjGDV3dVCJkRDS92OKz
NQ15ehuE2fCgtDU+TFIONFoh069xk3sbbqlby+sOBCLA8LGtvqQyMA9+KvtTBzHq3nL9/D6GafZa
G+7wytaq/DXYFUovaA9xCGZlPHmTFneULstXMkUGscZqSM7dkNBARzHLGW2eS3pRr4o0gPFt4fuU
JbKaUY3NK3XIMRdFqkluUx62xX/u7hJgNZBr0miHR26AWhCCa3MaumyMVoRPjpcHOwL04MVsNUzH
Em3sEubEWyd89nvld1izkmbehCygjkmj/ffCaLxd3Qr9WGPDvOc/g2PVDd47Db75Pqe2YEd+ub4V
LkiT3s2KH5PX9TvHEvmn0LH/6Sty65rilr0YDYoU5lRwtbsd5WwNcVP8GuLYpKC4rDrPqTfP0ggu
cqZPFUjrZS3VHIkl5fdsWct1ksbf7IkVcIL2hLrEPZ6nWh6Un5U9s/6atPcYskUOczIPKvLCZ9Sf
/hfgyWHj4mbcs0suaGzRora2LlHGxX0XkSJunGHYQeleNNjGri6VhwIxOybtiLqkzm/xLgWkIg8y
iXF0Qjl07Pdmak5Sx8aNBUI7DxUDRIypxGiaA7fqLdCFYp0nwJb8Km+2FIACLByzoto2DdGMFcdQ
Ozuldoe5g/ckx7iFwgT5R1MeiV/4GGnK0yhwD4ttM5IijZrm08Rqfuh1SW5F4QhnFWGC1WlI/m9Q
auatqAdJUjLvH22jkYhtYekfRqsCxwP/A6zm6K+G5NGbIdtkuW7vTWoCf1SaLHEAX/VHrZDlxoqX
B5aGfM5xFnLFVs5N1MIQncqg2lhtMZ2tQdCmNs8Htx/nPZWiGcfg4GfKQyvLkeWIPR6GnGidKowD
HM1V5zAMyzI4AsQqSdEY9mMrU1b4SWk+OVPfErQzkvEu8oqJlmwlacOREQAPtxjRyjSwDAQR4/cY
NO7JEmXzyuejvniqAu83I6/l+Dx/kp/pD0pUiBKimr+aCEq0GRX3QWoRxKITnvRnHjzxBuS8pgKn
a5026kuJqds6bR3dWuGYwJ2eAJW2o7WvzLm8zyCgXto4zt+H3uy3fRRWpHYMfPW7QSTtAavQSFs9
oavfuWEDpzcMfzcQGAFMYDeweEI1xFtcxEScXLT0Y+EUxqNHtioG7uj0B0odtElAtnAJCWAUfeR8
ERc3WWgYEWzbDL8Ut4F1dDRbayZjCQxjuPMpPDoNAEYBTtnxr5w7zoTqg+gIbR1Lje3GL3aeJ9uE
4y4+Nct6bpcWtZECg47/9uxDHlAMYCfCQ/eJzS1bRdZd+LcOJr3R6LRUCqF33xnYuIoKGsfYtEfM
ESX6OCkcZcIA7DharFs8smtwS+PPIR7H30MlfraxbD49ygjdCp/PSuJDvsOD4x6Qu1noQGdcAysZ
Lp4NIbWuzJ7JV1AGEiCWeS0tBUPG46k1tX2ya/Us5iE/t+QvtwITGzu6ot1ErQf6sWpDKpNlsYsI
0Z6TohjuYPgZ+6AcjKcuzbv9IC1Qs6JwicROwU9sHYDOmibcF9Fs8zbo/DmWpXsT2yq8N1mdEwvr
u52R5BZmocx9CtFFLnbBo3OdiDnZSIqmQeb2fkh1qNfvWq9bUDRe/YPowbhVRhXcY5FDMh5KNkPc
olZlm0gib0h7RhbY27CmVjygeZOGYoX4GbHQkzR62bhJ096Aix0P3pbm52iXUJaJGMkIfIRqjPdb
Nf2W2KBzyEfXekL5jrZNZcobbYjgIJFK9uk0WK9AVQEvCFztqdsPxzgLynuPFKK10u6MOTc0jfhd
xvRX1ENaseSxcfuIOLxzQKnSEDA7rzzooOG45M83SGVi6wwqPcVWrnATd5TahVXxWxWpunEB5r/0
aUEyHGcLPWOeOMypI4/4hJwd1hDzSM25hSEs8HnU0E6O3zeF64r34dKa3YM0W5gFFYLd0juusubN
CMoN+bHotp+Mj6IfcAzSUPECPpMQqlryKyVDS+V60KKFOZ7ohlgkAtqeVqND54FuMey6OjfgnLQa
sSrviN5iJXOfyWFLxP4u4DcYvRW6QnD6Y7L8d3bYwvk7c+/vcxpD5J+qBbCJOWG1FR1GTFkrw5aU
APe+d8K4GO8E5r9lk2G8UHQyPitQNu+T6qs7Ec3hWcFt+QjigVaIngM++WBBs4WequfR9ucdK1c2
dx51xjkBofuib2gmJQxJNbzDOwBvzOEoYRDyfndc3yA7jga6DkRXkE2m9tsp0rNCX/0mehRubGMs
76gdag/gzF8Rk8GFd5WE2+xbBHW0d+4scHv4jsqNx89+LYm9pT8xJd9uN3KT12o+NpHnfXJSD/dS
9Akr6+Gr7CFzdvrJ4YQC6qNIN8gv00bO0fTQ6+JCocR8iXs0fZkqonuYC33IFxTwurtsbDBNmmEj
f9LaQozPcPDPrKecQyHinlW+IW1mYlPFVN6tmsjtL4HnTceo5rQLjE64D0CB+7sW466xIyIc3FBv
Ln5JbcY/K3Zym8oxvO3QReKR5oTJX8HBW80BhoxtOfXu2em0cZAiDTYtHI56LZSO5+1UmuOvvh3f
24hYa6FlvHOaHH/xWNNNye5+5VYSxRVv7A1oVAV+Im867PtyxhbJZmOL4hffzaBFdkVUiBPgCfc+
NhvaXuyxjx/5oPvH0R+HI+bq/jibnLDhyLS/iaVzFMyHYXzG5SeNNRb5Dh5pXQCdUpZRXsRyzu6v
R+7sevwWy0mcpzCH8qSibo4XUuxMZnmcZEMU3dnLSd6+HupprrdO1vWkbyasPPRy/h8M1V38ZSaA
leTjpmJO0FlPFQaqr7prk4FdMqW/z/kyYDTXWcPlZMbNaBlB7Os0opfBJF9GlPw6rQTL4DI0OARy
dxBrFU1+vbUxCWzDyECVv4486jr+WF6DUYBkMFXDjWudxkb628kBTLJqUi5cPwWPHErL+6rgG658
1g0rAcbo3oGCvZ8wIM7cxJi36CN5qhoHb4FRPRoijoH38ILZQDEfc2056xIEOzwioLUYwuL55BEE
P/fR4ronoEC1b4K6TsPosqLkfVhHFH29iVrKNb0e9r2PZ/K15j2YVuYyMqbL8AjFkzkyTZr0Jko7
lAKGTKdY1t3XydO9TqH+MpBWlp3u62VI1cu4qolpXWom2GoZZak+5W1fxlt+yGXQZeRtluE3W8Zg
dxmI1TIaSyNUODLqDxbc6Q+2cbgLl1EaLHTxSX93sVfXSXtehu5oGb/9ZRCnqIqZPFvGc9KDBAWX
kb1bhvdxGeO760TfLMM97eTG97wM/DAwSDd3/CkJiJztzKIMpItIoBe5QC7Cgei0v/nP76jO/xWl
ZM3oO5brIr85rIMWx9If+izwfJshYQExdMo5FWl87ESgWGgb/lYIzunCt+W96XSGtbJ8LOIy1nLf
C8/6N/LOa8dyJMuyvzI/wAZpJI0kME9XC7+uwmW8EO7h4UZlVEb99bNudFUhO3vQgwbmYYDJh0IC
lSH8CuOxffZe+92ESQK3pwrU1zz0cLkKbz5boWPuQ9S8NwaD6sWFz9KnpdniRVlo5XbHx1bTaLIC
vpXznmYujJVgzg92x6WTfXPmBBuprOBkQlXSTjHzt6KdZ2CyIrT30S49EQHdyYSE1fUgy/+cadmf
8w27AGed9+fcS65HYHQ9DP/rF8whSfsfdPN/fwIxTON7EVjC/qabR7CsZ2+aw71eBT+WN/et+bDe
msfx1jyQPi3vsAz+13+i93fTGH8iCn0UXNG6HJXB3/5Edr40LnZpvB9kGH9SpZxi3sVzfZtP6SJw
CVX1uZ2bDsaQypNP+pa7bQ13/XtxfHh02B/jXZmBHEd2YKIGBOHyDBdVHdj7xY+tV9PV8ok0MI86
WVajs2ZFFea4eOf2MDVVcwOvLT/JcpmOTDKcT8gpKxmEj/20hPuB8ROxQWe7wnOa3WzG5hxW/vJT
jll8JGtTHIfGD/ego6xnnY7sxyjufEj0oM7i6rc+DwzEP5JILh/eiK95Q05x3GRT2r54yr2eX1oU
r39e1P/bqe9L+qutTPXd/c//YJf8d4Pk/2PuSRR3+Mmsjv/y8fpPRZJPv4uPUn2UH3/T6v/5K/+l
1f/pfARqzO+Hqx25/F9avQBMiYgfwYX2/4Cc/2mijKA/8ymJwLGg89shs5n5V5UkBoUoiqBCh67t
y/+eiTK6qvF/XSpJ33cdKaizhdTleuJvh1aah6lxs1FhGOgeJT75g+4msa5wUOwiS4+/Ad+W0Fqi
6NBXwDtgQpgd0FvYuKwFd1EFxGY7sEWiiBmX1oPBV75zAAQeu5Y7WVKQsmFokBduLsERd3G163B+
f7UirnZLMWXcpSin/TRpbJtLZnvQqdoplW84xJKXri7NpalabFn03FLY1fZ2eA74rhzTcewIayk/
ovAvs68w27HFbORZAxSy8VecLi0LyfCMAWR4k0JDHK5qAQvTkenCRjrwDq1k1G1Y2FFF13qo3abK
nkuNurcuG9YW5HmmqGW2C61yXZJqueOpiTSQedRAb6gA40oTh2lJwDPwn0v07ffIDhdaAYK0O9ZR
Fj+RG4OiIewcpgrZ3eR2ztuRLK81oXR0iZvedexrX9rST+mEblP7TJCIu8c43zoEkw+Yt8Zfla01
BviC7aIpjLljRuHWjUw0rOfC8V9ie3RvOte1npI8sN+sqsTzSuBoOM7NMD4MlIJsW1epr3AueMGV
nK5/8cIlBsHfvU8wEFYhxRBo8zc2pYNY6RCBPmlAod0GgYOcZGoL/pJhhBrlYv/K7cy5IyuIVSYP
5nkTV5kq8Ee5VySwREjDLUH6x0EZSxAGBzOeqJgBaNELetjUmHDgQa0YMzU4oHkXjDEQUGKa15bx
QyVNdhrnYLzwgeqzmNsUFh5JYfhWFSibSRtthslgNLDhiEZLKw+BpdOXmgvVhtRQc2bWKR4tK4BD
TE33HdcCta90NePSHd27BDTfFiaeOnD7skFgI/kIy7DPWXL7Z7MsyynxVHxPE0J2mTM+qC0Yz88O
WN/OdicDcxAsKhCzp6YZ1+gbFRHMPrmH+j/iTGnrZ7Kj8U71ofeROv18ZoD2iBTRxCW55rlBa15t
u36HEIbEFmBl4G16MdFAkr/kRMdmFfnpDz2Nh3bK7muBux4aqKxBGi6YBMANrvrpKgz1KEsQB+t6
jRODHRJKQ/rE9yC4GIecGFqvLJkHpuxUEIR4M4EdPpGeq/IN1cxuuOc/SmEDTa5W2I2L+Qd5q+aQ
85m6tXn58CV3xN9xk6bc7F1qjnUlvZcyC71bX4fuwWmv4d9ZQw+KgzH9tgdI7O2o8YzQImQ+yQ3j
Fej7MHoKSgeDC814vP1gViiS8+V8n3gUZmIDAs3DFZwI7YLAUdMdjtcNp+njFIZzjXUNyzRbzeG9
TjMoCqk3nma79G8pmcc+Rb3Rwu9UNECCeucxEkx54dLQXRLX/vAURrSy9joYDxIy9GdUpPpp7pDn
UMUy75PPd/rNBc11VxCGkaXo7Eg+nLjw8LnCkyCyyt0RNFBTwnPTVPK5mXabXV5lzX5UDWHzKyJi
X/d5eUdU0n0aIGKc4tYXP3JNF2xrNYgZvCjynm2lAwFdol2yFFAQbexe3S1j5jyQwJT7DIbeTZfU
+lfGR5h3NXbFC77a7gbso4u9YWkOIaoZFXhFeFuWmhBf0dJZCNwlts8ypmEVW5k6+86Q3ThhTnMZ
STmwka2FuGZxzzFbeiotMOFOcBvknX4IW2U/etTe18R7pZuc8K4AUS20TSK5nttf41KxwNWEtQPK
Jps17Chki/CUNVQAYaIi9UdwfyCiblX5PtUju5Y8DZOTi3B9GKPy1s5a9HzH8q1N7U5Ud0edc5hC
Rz/IjEuizxd3axD09nRdpKDClvKHofJ11ZkUX2Qa3VGxqy4UxYa/cjdKL6OK850jqgWjfDecldQC
gKVvf+ZLk1+GATRwVsYdeTM/OOPF4z0USt7EUcNExGVpzVlUnsuZ6hjs8P24DbT+pP6j2haO1R5c
r5Sv3Ld3MuxfM1nUe776ydHJ5TZpBHInMP0vr0p/Z6YOttJYM6VdDg2PFT53BDJ4XF6z93vfO9JR
eCcsL9iQ2LUeHKskq7eo8qis+HRVD645oclm1WTNb3N9NTHHdAs8iNhzkXehv21buO64gJ5YBEw7
7WNDqpL6rbBncSzqzkH7Sj+vxtPihHmNZqsavslmVB4uXEyz066LveHRGbzsMg1WjR2y7m5bIRDp
/J/9VB/w+tWrkuaxFSa/Hm7L5OBxEjeO1y1ktJPQBovU0qayGtH2NlXQZ2fhliHybb3MIN79uNhz
9eNf+8rTe7oaT20es1aO/bmZN0tio5A7YUfIB39vjam++NBzQYySxMC7izoaEUed0wuE0gHB02ns
Neji5rHpina/NGPIjdILmROGqT/rROWalHqrNmZeEP57y/2tqXxJtzzi/Xzr1V3CMGMpQLdjnwLT
qA3PgVSYalrNiBBmTTZD/ior098xxI93aZ6YVV1CkgxYr68iGnrWROUuVRXe8WNR8aX8OXtyjQ0p
Oo5o+ls78Ti9gFf8ivi4vy++3DD2XPyEZXduwEBzIDaP6JHpqup87f7JhfBDVc0KRK54wJC8vIPS
pjEa6NMpc9toZMtD2ZE9UkTjRu144drgfxoEnp8kr5qVcrhuhBE2B62tYMcCqH2ugqE8EIzeFjg0
T+TN+vs6i9VL7sPK0cvof3MFKtgIePVOBAs5gSvcMD0UxCUOYwncn9qntmZhT+IM/dsr73kGjPu+
yIdbspTLSTCQvaQwFE4gHqdTQ5hhA13HPtba73ggBf4N9vEKnUSk4TFpea18TMC/0B7sQ6g6s3FB
D+yMBr6/0Y6/R6nZswl5nmXO9pPQbOBTqla77UaYaxUthdQh4gbcCY16O7a/XW9knqv4KJLtIzWK
aY2DeEPfot6QKd2QTX2wkMtPVTV6R8Cw/iFl2fbhc56tae2O177RRObC0t7VXVrxhBHdKiN3+yAX
LAIqppGKbHp8KXEWrwByU9jEAmwzUMBLFEfcqqE/CzF/Ow6VO7j+Y3vCMSF9uryQy5An8pVg1LqN
8srblYorW7eoZG8tFYHIkadK1DrDUxe33fPsEQ+c0mnYjc50ayuibQFej42dwDeNh6lcUYDgbvMY
CjxCUrSD4z4la9ed3vlFww3Fe8sn3dsQdjI723mJKm/sOnevWg9QUk/2Zb6u6zTY0RDnbX0E9EOZ
eskpQHx8qOHTrGLiSGfimvmd8IPiir+LH7DzhDea6DdscysXdJDm/j3fUIQ2zLLtDfcQ/VAq4f9e
gO+AC4rLO3cSzq3fC3nq28L/TXtedJE9TYLkTdIfLjB0lsMSDHvWlOm75ejuwrFZHBtcxxtkmF/o
MdEhKGmhVF7W33aeE76D7qDblAUJVnEe9MxFboblZG5AZrQQu4+VVsZAd6hnTg+wEGpBkKIhvT9E
LaBOyw/mR1qQzbLJ2/4E8SXelGyrThhs5heYuOXdpJO3ipDkvR3XOYHxsDm4QZ1u5tylLIQZfIZB
tAvSK8eN5MtmThwg2EHGk66O1bZmbqLql8O5jyR+Gp37rzZXGV7mUN81PQce82P1BuvY/xmVRX5i
NcoHuDUeQBfisEgtPRRak6rkQQniGrqXpKHrZfoVz0W+linPvZhauA0VT9e9Dc/xKQAgzDr1WXaD
eg2tmClTU+jIyvqdJdFxUfmeUFR9dOCbk2EZ7nmisu5zGXk3tt8b4q3WxrYp++aahUegHn+l6dgD
f6n1KWuvhLxsGI6u7zhoi0S0haHKbdJAQcYkXEc2limQmcDlii/2i9GXCmv3mFX8VoywNnJt0f6a
IS2doTQqoNBpke/EiOUr1iOMyuqKxl1GXj5v9O4sml/2S5K39+Tey3Uiq/rT5gNz2+fOQCwVpHEq
Mqr8HMM40UQsZ8HDXHRkg+xR+FriODXMC1nxkTvRwo9CEE+XS/KLy5g4DhAaNkR9vdVADv2Z5uLx
MR8WgAkYFZz3Mqisnxqf6q5J7fpATuQPv6mooaNOmktPFzr3LYyvdTyYjQmBi0G4iPJdWM8s/qKR
oA03uSFd14b3ywek8gY+bOSTRTy7IiZByqS/uBYx/oZHSuULPGayWgM/+o4Y+IcuupnKiN+/7tYT
FMTNVQtkPLVPuWztrQ40UMzpALX1KcSctqYsIb2HI0XeoSjngwkDtZu9tiGaXHVHwnbde2NXw8cy
EDSPgli+sI+Jbio24b+gyPL4nPsSuzjyNLqXguCrh+DiLkV9I2lmfQ/CuGc28v1jZTPSAnCxeArO
wAgd/No4RpZrpXrpWIQhypIjvkl1tMf6BhhpxGjEqF+Fu7jNQnw3MxDw2Pjzai7i4GckLcnm1g7z
l5oRaVtHc3SLz41SQLYJ+zmJ04MU7vQhy0Tz7MhLsgD9DFjMK5cHdsvDKfeX6cEyZjSk3HIaVvFX
b2OWcMcFpeIxgo30Aes53ct2rN9qnm8c8cY9UkCvtzIfSSN0wgbTgTIHlt6hojBuqocOQD/A2Gpo
f9sg+p+sUo7BygyeuUg2rduxn90KSLAI3wvjXk0c4jvNS/qJkwQqAEqge4/gbrMEdlOKOQlWtrbp
k00NZfoyBYs4tbEQGDZm/dazQPoFigikGV93GiuK6jZuB/+2aNsrK/dqjaiSknohTwtzn+NsvGO4
zsA3KgoH2kxw1DQ8RB9V1VAOmyZ+caylDveg7dofWc0MSxV8rg9a0CIEYzK8EWwDgCyX5lnabBir
K35kNvkVMUGoMW5jcAPRMmTHsZRi5RvMh5rx7NTQuvcGU2R4iphCH3ox8jRZMvdFiyk9RYOTfaqg
51kUj8utv2BZoufYVjfIqM6lNJQ0g9KUNIoW/tGuB8KSrDcooq8y6X8MHl27QM5c+wNfZE5rXbBM
r15OZJU6icggPHSe3WxVVPVni7391q2Iyq3Ihy67mfDRhed4/Z5Mcf0yBA376NrjYhAi9s+01N+B
2gufIR0Hp7ClMcnpB4IhltC3GDAZsbLOsI0LsnR4wxklN76dJXexN4l9i2uBNMuYy/eF1TxDgw0l
vQ4Lell8ps40oyPA6r1mG0CUBkEgFW9t+IEbjBMMs+eCaLWzZ+7g/BzkU8gVDMKl5wgT04rNeG7W
5VV7cDTvktMRgmwtkINuYQP4zU0/bLE8yE+LgmsMSBnjUpRLeGEYtTS9DE5NTVOKNZufmvHWgh6R
0gB7ST1Wbb6YyrU/eYDd/r+Xdl3vj/f5/2DC/h/37cfXb5P8Vdr9x6/8h6zr/Ru1fcJGmpVonyBt
/iLrAq4Xjk8XuRuK0GFN9E8Ttv1vIBgRW7m8sfDwXX7RP2RdQcGRR3QAeDorJKAs/62uov+02o+E
73g4sCXoJOG4103VXzZRHT3isu39YV9nXfSDJpX5ruT7V3OzSNtPK1ry84gzqV7/Rf/+33gKHPkn
afFXOdmBcyoZF30wIWh81/T/X//k3sgcWM8w7KXXx7u0df36A6ItM0I6OJiW+5oygHWKx/KtIFy8
bCevQn0NA4wmdCuMttzbRe3gYm3d4j0GK4KS5ACo8RzsEOxZAZ7Yho7tda7J3R1GcQVYQt/DK+aM
mIxWdRXOn1RmrNxubkseU27wruG3fcyViF409WjJFnbn8DDj0a03eYeakiJTp4xFMQvbwRH9W+kF
6Y66KUhpWp+9tEpRenbzSGe5WcpPIuHrpHOHDWvpamPi6tdQtM4N1tHsget38EoAuNm7sZXdtLp2
OCG4MNAoo2T8bA1FmlGbY9GnGrKHpQT+N0NCvsfGtosJFbM1xN9Fhvc+TPpgN0zgjRlasOU45QsO
L6h2mCv5aQkqYU2EPSmudYmcABmVEIWu+mkVud5dWVNJNwE6E66tNpQm8Qvbhr1+LWk6uMYxZU1x
AhazDzLhBIwjj2gxI09SFCvEyn1JDfh4LTJvKOxeIaft6X02a+MvBf9RxRAam/FubPvmhnRXd1zi
tl3FoEdo9Og1xBeKqLjMEydRGLC6MQ22FIK4GzMhzXS+6o8Cs9jOS13/6MFbWFmDwGPZ9j1EfZPu
XXpU1gtsAZqzKHfM0Vh3Md1yhGJzYLRUdGxaQp/7ZWxBbAMsUivjqIKGdMv7qp1BHXqPuTewpHXL
iUppAcPK47wUJt+UHrYhhR0rW4VTnHAjzGwXJ3yYaLVBbPCia4qNQO5IKOGDfXZe0Zvj8r6nyRK8
q94LLzC6nM9yEPqL+RRZHWkFb4VIxp7HdH5j0yJbbMbWxr0soubYEdxTtmedtFvXp2TR1asm8slr
nbUoqzaV18u29cd0wcJNhQqI8kpKDn1Z3etiAHFjx/6V6ooldiPQIQHS5/RgTo5b3BRGO3s8lIUG
FJCEP7RvtQ2+PM/eNGwbxda3HCKVSyDDi926QPBMMw8Pgt7bnaeSWZ2UqhlFkH+Dd4NPBkobUM3b
JnArvDtARR/nMbSP13VGyWBL6/DCF+qYOzAF4GOG6kB41XuqsC3Gq5C9ysyLecXnUjYxwqqSdXHn
6mp4iVRD0I9FAoRBOQlI+ZbXjtvQR0o9zWPn/K6amui9q52X3E2aft9px/tmPIujneeKGQu3aVwM
FcvsW48hCs4OMBrhXUM91kr4AvZ1CZELob3IkqdewIdlYLfOWNBYuPKPu/ZVGjz2KCIUfVAltisW
izlg/pIq/zQ6uUE9xVdpebt+hjKnB1EchiRy76RH9KPxILR1Oe5CVIybqEvz1eJcCRdckza4SEiW
1M1tKRdz32T2FzlqOt2qVq/jrlAHOwvqS0mKZScUP1Ewa2R9HaT3SWx1+wmGwxnZTmy7cao+F9kO
uxm8z609Z/SMkW3FqG/y6VtrdtlctkV6jpIQ42mWhZj/lhJSCAYM3/kMEJNPheiLMya5uymghp4x
z+ncjeOURv5uqvlaxIBNnfaG0tJ8L623jiqcsjMMK9Lxn/NkDnamHPqHiL06k13KLgfVZjgt/fK7
dhvOD/BOHrlCYMeYp4LL4GKQ9nKUuWiy1HbUilt7l+h7y8ZBvvbdHjJ5NcaP+PZypHJraemvnHMu
MopocWfp/taMQFu2SQXzdkq7+Q47YbKeu0o4q4yabD5Z5DM5LdRnCPxjY5V+eHBDGMDXVNK6QIGA
3y/Ec1hUydnnfaR2BCQC8AIAk2N+O8SeoRQjPvSF0OtK+yd4UMGlFjI59dL/5umU3gJXq/dF2yjC
wXxSzDFz82ldx/hIt+2yQNlKjXLKjYU//yu1wC4SSm/tmwDfNysTuL1mm1ztwgjwNE9OyfCYzip/
7VLym0XgUkadOP2ee8QEw4svzN4nYzoc6pqlxHYYhvCWRL5+CXifSF047YEbVfnVs2u9N1MTf85Q
5L0fptEcs91S0mJadeA32ONAyN/gSEAqs65FtbBCFvgvi7vOevuzhqKw87VZ9oVwhnNAvmlqyzcL
kqq+Nh4JAIsmd6k7GODiIOdjmll5dRiynGnS7mkkJH1VqTPvNjABsOdZtmJVDGNzP4flQ+yyvcT3
325Mra37oqNgbrKAOuWATNLQ29kArKASXzm7jQI/qY60iWTbMfTacwZI0fIpJ3VhnPAjJJdosL8a
KmlnznfWswGjgi3mY7pEyZpWF8jOkGJwL0P2EqKgoKjAlNG3BAUGhuVYiRgBWvEmY2I+Z756UfSK
bptu5AMQjxzPyu1WIzAemk+tJXnUEzZ0mlN21hhvU+4ou44ExE0ypSXuLGqUbCtIvyYluL73Q3cp
TOiuUssRq2qaaFkwMNiUoX+qDlBbeIfGLbOguzZOabOzXJ7jgoWnINuz1ZIXtmjK+EJRBmEPUz+P
fmI9RVXZHrqIpi1GDQh9su32lQydPSdQSGFcDfY8b+XWphxw40PoO0Cg8XDmR/dsIvj6auHdTbzv
qDKw6UQ70NdMcyJRjClQ+zZkE+26LXF3w+3hzLhg3lOyi1Dc0AB2EFXNvUzraJvBkgGoWsbjO7Gg
4jHoFvtsR0X+bSYfsY1HztEZovGVBnTJfn6i93b07QqgOHi0jQrs+NtOlv4g/Tlk9VcIGoUyO95b
pPNQxlMnuVdWxJMzV4N9QpmY9pPI3I+ItSLRKDHdoWpRPky5YJTyeiM2qkgTtR+GTJ8U2Q1a6xz/
bIeD8wRpMv5dGKyTyNmh3rPWSnMOJic+Zp3tnxQvtY3Ek0VbnDApy6nJpDg454HVMALFXtvCeXGJ
NK4836NskE0ITjpRqC8WezbVvnQLVrwJJeXsYWg94QDKDmli5nM2ZeQL7Hl48/yOoq5mLimSZ3yg
g7EkyWd6JMiOOBl45sRdnvJsnn/3mdR8TVnRPbZg2R8JmtXch1M8dYy2hJMY7XdZnJuXEFfnbZyU
5Skh37yfocqiGbAeh/7WSvWWeo230douzv5kTU/DqL3DUKbDgxWR2+6EpJ3UVOEFiqWDdy4M3iwI
rutGNdWb6+Erqhw8SJ26bcNMQn5S1rJtLH+QfM48zeSesPrjxHNWkP/TG892FwwObYvYhYeGCrB0
WgcNN4tVj+pY4AOhKXxF2EjfxlGQ7CP6JbGil1fVcsZk0lnLEdZKvi7D0nl25YBRn9QS9I94lGq7
WCJz7nlE8HzrVTDMHGDAMPS1arrA/cDCv6T30S0hGEmKrHpaL9ZBEX1kNGVuLeFQ9UHL6h6br9w1
9O99MbTQ8ieR/9fUpgnF8nwu99of22PdDOadL+3yaEWGadOfyn3e8oeEli222dW75WvSNRKs1H01
teJ2NPYwfVSumJoHOEBN8YPwlKJ7GJGEXFvPBW/NDi8bKbdppxhX/0CcL+gBVuFjGKy9X1fZo/ZG
9TTVTvq9oLjvkc3A7S6jp/Y9MtJDPQvnva8i76mfyK2s5lZEb/2iKIrJUqLtSlvJ1zTK7ETCzv1o
PNGpVdCkKW8HvcePNgPq79ZlQarGCqFHp1PzOLcOZ8UChYSBzTicaiQ0FRViRHBXrXF7WAXa/sjj
wHv2pS3bJ3KcsruNq8Zzt5jFRbl1DDwapeHAsp/NHEq0FdH+SKsAuGnvzJSJO3wINz0Lzoy53RAq
0jP+SwKLEhZmFjqbiufhuXKySMKqbWogvEGCm8Vi5dZYNYEJ/oeqsGqo1bGpeve9WMZkXzpR/VJH
ov8AB6uJjNXNY+t7D6kFxBlT0qY2YXjuZsXelM8hVEhpf2RBMv5UZZQdZeqnL9kyWG9OXfnhliSK
907/6nQaunHeDRHlS4QA5YPCeEWfpJrig5cV22auczrIw+RmEt54aEwPUo6X8GMI1ADWzZL3XlK3
O5Zye6ergjsqxudTJ4VzTehnj6VneZeoc/s/mzGaJCmIxR8UNmicQQEAt2qXlhMniC8qCX/2KvkC
Gz49sKaJ4WI3rea0FvR3GjlE31TPBeuk19i6hVSbYRTJSxtG/euY8c0prLJ7zQpFbmOS7qWk6OKU
0uv6wGbqW3kJle10KD42jLP3IDEapqu0/u2B7uEJOopDaXL5tKAnnxZl21uaAceX3CFNbSjWuzWx
n91XS+tu57Yx5VY7dXczxd6IkkVvmFQ6wTZv5MatU6Kr0Mbq+5476WczCw+PYtnt5gVesiGieDeg
5R5ZabxiKU6rzUS6ifFAu/12qiCAs5IQO3KDC/CkAo/MNXuUFy4zEGW/b0NSCbb8qBiFzKO3FEnu
Z8z+ZQ/g2Bx5rA6PEENofmQWuy07tWwXE3eXnpDqj44pj1V2Qe/kAr//RPdKfYkNH/nBcN4HddX/
TClD38ZLl37MMsTvQU8DWmKJaI70nmGGmvl2pTxVNgmiPrVLPFPCkf4rNthsXfAmUAuWXUqaw15o
mzcnHzLIi1XxuTKJ1NwECXKyTsg3OnGd+wC+4SkO6L+1hr54muZaXBJLl9/eOGH6J4EiwOJn3a2t
eeat5jJ2v0KVc8PqW92ebWWijGgAdiaLDxqSaUEAYdV1OaUeTd6pTWV59Ws31Q0R2mhyfuQ+SY2g
FeYjsxK0FZLurFSnqCnfwHTFH2Nn4wyOFOfL2dAkcb9w+r0sf/Di2R/UOF0xXrvLcroDVDdyvyJj
6H4OsiT0LPSCrBtUHwAIa8R2O3itJCKNr7vqRjGpwd7m7OAvlEHcKQHpp4Q+HiOL09uRLZR1fzDA
r81wWfKh++h1P5ydK0ndiDDemiotDnPvwlm/EtfZhjirSqX1WxvY6Q5zgPVIQNOHpWPTFR+sO474
iiBXVX5VmPqmWzy2iX+wJE4qH3LpvOpH5bxAZoP4XuMD/h5sL9wRVp+3NDJPchWzuUpWFXaR15w7
5EbB+D2YIMV+zw+vmAn+UOVFYjyNBDy0N7M9JO8iSp2nICv5AKXOwt/BMtXjXIVmQghS5Yunm2/z
h1nfBHP5scAl/q6YQakTtTiGULw3iW6qjT9YmN+m9DNXCFtOla/6YKb5wJ83HY/m9dh1FPte4fkM
Yy+s36vT3Jofdkz8URH9PKsM2H6kwO4DnvY3lqQGrK9jpvTwsUuNdwc/Tt/YWP3J3P6h+E9xfvS7
sjyPOGGO6TTzcaDJwz8tmqzpBvjV9TGlsUABGouCgj1KZPimWct56ufwkqo52SB6tHsniu3PhI/P
Zw2aZcG7Vml+fdGcZUIgbOAGtZOF2z1mc3A/L4mz59nMvi622AF3Dk1XveWP+8KKCIIjSt35wr67
akLvNp2v4PPq0XE3uUW0hMkOF5vNeXVJAGqhdhkfazvFlmTTMi6emBoXD/1t6TbulBQvdHOS1IrG
Vj4wGhTeOgdrcAfcAeV/JBvaeYlcZ6x3Nlg/7FUYz3wviziCHgybaUcOnbLktK/as9eiJa69XsSv
jRrEzrS1ec9m175A68eCJROLA9wb/Ac37ZtLw5+2rmhdvk8c273YtUUXDc7Y4Nxfo7NuRaekIFRz
psGlPqdeGuLMxVhXjhIljyhz+cZuuLtDXDPd1nfJTRMkgfjcDNY8rhYiKFvlzb8iNi8bqiZAGyhh
f1nsiY8DC/8fkpMJ13kPa6mpF/aTS5jvVNarXevbyx2WhHSfiAC7ipPp8DLlXf2wWBMhyb6x+b8s
tzxIWntZNhcBubY6e6YDjVNwqkAECFdSk4J45az4UsOC823xIpPZYxltD8xcOG9dw8Osq6iqoCSb
655DtFZYz2EHuSGbMciSTAa6aNfJtM2mYnoIYoEdbybe0RWyPlmVDT/SKpufdsoAYkHJ2BidpRzG
hvwmRhNHN3eDXXW7NgdK4LDbJf2CG4daOEDmxRSMO7fgcbopk6ye1zNs4a3nJnzHqwG5QYZzvO/z
psXCX4iBor/IvND54LyEI12tLCmzZIVyBT9rkFm6DQrI+StM9/UTSRpt71LfTLif2N+XO7I0dkVg
JxFIsnWF004jflBTkSvrtaR08BTalEGwZ0YcWCdJNjxirWpTlv4y/ZEECyCUgqAc7gFf+hj6m7T/
zgK97Jd+lD9zscjHcIoqZxfAi2q2WYbPdOfTM4sS0iTRNVcsBW0ZWMAfTUi5OK7VlGbgPIzq195z
s8/BsueF0pvR9o7Tlb18WpD6n1JvKd8aNx73VlY2dxOoM4UdqjEPwKzxjAkWpPf1iBDnDh4GiLx7
950UQm1oclqJouinVbnJrp4nsFJu4JJFEfolM1eGX4k1d9fLRGDThrRgzYBckmxhs19PdJECVcD4
E1U/um6YNjQ5L0/Il/4pbERw787U5myykUyMAk1P1gce8BeqgfTXqhSs9O2W1YE1TZa3sYKxPaAh
N8uaxOn0loaSBwQS6nzptBds++QhrYO+36hSRk859pYbRQWXl8s23wjaSy7x/2LvTJbkRrbt+ivP
NMc1wAE4ADPpDaKPyIzsO3ICS2Yy0QMOd/RfrxXvXpnVZZVY0kQjDaqsWDQyMtC4Hz9n77UFO8EB
ca1CxAZU6wewLNOQrjohrpiIHwNsUls+dAi0Ois1zmW0yYKZcILOpVO7wSWJvdAF+LpjGxF3pRd1
9+4sllca5+O9hXAHiKWDkA5o7b7Dx/7soia+hUnmbbPQGu1dk+FNNPD9b01fzpzLxxCuiypSpEGy
vMJUNNxpSxQtLUgn9a7acGLq4jgl/05DBL1zRpUF1sYa3mZGjbT/Ka53qT/lBA1k0y1Kd4TegVdE
aLq5EPcNmAULLqNIPmMnBZSYeY7zmMQXSmGG6/4xzxjFE2rLARrHic92avw1iFIOUlPl+je6ccwD
1FT7QYxufTtbfp1DRM/abwtRODdyyVvO8m0oz7axQKZjbsrrQ9a1zrNMI3GF9gPYQYVOI12Znv4n
YtMqOOWzFX9kRbW8q4iXZ4vgiLPnYLeXtIuFgFA5uxzjFj2Urzxtw7Cuy4ydgK7ndGtsN/4Yre6y
wPESoZMtX4PAFUfX6ZYz+ITgxICfGNq2Mles7WxAJrI/jdfrdBM17HzgJK1naWXqHvo0dln0Qtfe
2GGGdNP+y/QeUgQe23Y1hlFLNlM3TT9lHlcbXfYbzhBlvu7wIB+Isg1OPuv2Zgia8tGDh3myBBFQ
2D37zzpvXQWShgRQVdr1Ifcw/W3grbbvjoKcsU36oHngiET3G5PEczG44T0OwxK8X4CbSmj+pVmH
TDK0b0l3kQCjhGXckQXGOoHRwYDMNXwE69l9sANV4SoPxujJIuAUN12lRbZtTHqHcNo8gNrzmR6w
ttQrr/dgJNtdd1e5QXmlHP6QE0MpShYZ3Mmppptgz1X/faGtdtmQB3EOe4hGccCphEi7sXyAeFcQ
Vh/lQqHmaZZ78O/cEYobUqQyec9wqz6WtpM+gB5Ra1FM/noYWo4aXqNhUzjpakkBsVTDLE/8seSW
t9v6MZEjsuaXb2k8FFsna8DWR0t40wfLcjdP1WfrYAcueoQRaQPGIo/ms0SY+piN7rjHfoe1I40e
58yIbSHLi3KH1uUR+gWQTHecACiiQHxyR75XJANenvmSIVLyXiOwNuNu4PjKhKanw2EhQzx2lO3f
g7SRd7Ftw4Hy3Ek/eBT0nARKH6dKSNDgapgmdcoG3yUxNEoMFP1JXzNd/Wh0gZFMdca/TbGvnkfZ
ePcT7YzvdRB6/qogIabjuMv4Ju15mkY7ObCq4lzIoHQkNj0FdHDiS9XxQMa23cJCdBoDU4i2Oyqp
wh/nau1TIlz1VlC/uglbVlpFlCwpHc7CESNxBExbMKw46oV5anesuL7IoLvmMKU63NiB7W5D4KPN
3nZ9j900mRhadV31Xbox5p146belnMMvsKnmCiEEMn22+282dESNMqkMrTXpCzAVY59CNsiZW7lL
zwlGOOl4ZQRoZVG1UBGZ5tDuVf678r3aQ3LdWccYIsXKo0eSQfwtlnM3+SxyUdAqOOwmBZzDzAdu
+PiUBZP32Yzz9COjbH0ikavXK4mfh/U/vnDxojxsVgtxct/bgvnlilWBuAbWPE54FWc8NHIsxkMP
T4xnqHPZaIouPY+Wbf8oXSKMt6OKMQPgfgUyVUfyGJO3csWXshYedT2BMXNx5Piob7HWA5PWxlfe
RiWiVgSxlPNrGxaCuU0a7YRQ7Pl1CzEglnYTr5tYWPGmC7Ll3GfxJTlpFMUpiKQ5JZOBgOIXc/AR
4Z6ml2cz8UMv27BbiUzFSO+jmZj4Kkv1ikYbWqU8ZRcjd1fC3ZGyd9trWB18DESQBMpjA4yokp7z
XA6aOYrAkD8NwdQALLKsI032CkW7Npf/MfLSoSrNxDMzW7dcjQxEg3VV+/4nIrn6RjFBvWfzonYp
2S5XMfYgc+zsyik2gMGnN/rNhOsWufWUXE5XVQievk+iqVt7zAe3Y2YXmykr7XMYDeKz8FAbd7T7
dlZckH3mofGJdz4qgnVEc/hqqWyc2HU73YAcJTDHuTTJq7TBYgM7F76Mw5s1kMacj/eeRWc0NSOn
a/PWU4Sf5riG7EogKo5Nx2zGuR1+OsrPzz3lxA1p06xfC9HkQWDX19agBCJB/oswDzxT5OvZbzas
zhsDYf6Mz0tsm85GQInYDVwnDOS3tFfLvR6G+ropUAea1LG2noirY+kE9kepBqJ3VKivq75BmbS0
uV6rbMw2BE4uH2SHpAfApcFRLw3pN31Cm7jpE///Qxr/jyCNLsoV/JH/e23Q60/T/cfqJ67P8t+U
Qf/8c/9UBkX2P9A1h3BAAzyVSH0gLf7T8Bn6/8Dr6aKKiRz3kpuB+/hfyiAR/AMVRkCSRUCqBCsL
v/W/lEHOP3wPqREkgCBEV4Pt/D//O4Ejyc/mX5Ic88uv/6Puq8sK35n/8d8uUI8/6nOgPGLxlhjN
hRMEmNT/XZ8TeLgOSsbze532xa4FprAaEpltcB+GNKzn4x8uz78+/o8f9yeLN59HUQh8JOCKYGf9
JV44F1MMsieiN0pSzz4RRX7pN7b3gwNjaprpeVUxWDlM+pFtGGoMjF9gvfV0m+JyzVriUtmQwbn5
m5/rV0jl5ecSGGs92xfEmwS/6JQuJ1xs3wgo6a5/74C3bBxwEitMEgfReSdofs2+oeG4I9do2qTz
2cd5+jcIlovZ/Jd74bkODQtbSDRav2qlOJbKeMr7cK/ozu+Z9MSnkJrl6fdf9S/uuMdXpZB0IzJT
osvv/0ELFnCRWezzcO82/sEvxtcQbdNhzMADtaMZ/+bC/sV38l16LNxxX3g8SP/+aVpox57yMNpH
dSB3U4j3FTaF+JtP+ZNpmWRs3ghc0IwhaMH+8lQJUFkwxGKoEinmpRaY0Kou+4ehyj7+ry8eeALp
BBHfB6nfLx/kWwtX9PL4xhkdoMrKv5DnMKUjP9TNi7+hE/zFncL1/V8p4Z5v+/YvHzb1XoMvzQv2
jeshYwB0vEoHtq9qQbA15fLw++8mLvfil+cP4SKKK48VgXXql3uVgTZcdJAE+9YC1K0HMmfHILYf
SnDuOC3SYqNomO5SKo3D0uTNjjyn+AfdOgKfa+ZJtH/13q2rYeMWkuhE20dRKN2w3PjgZO46oSq1
CdMa7RORB+x/wHG6lVYLEPcG2vVadQtTEj+XA7Yoea+rSt///js6f/GeR34kRSRo2v75eRxJuxz9
OQv2SZ2KY+5b4XEefMKpBv/Zmmsi1GJzrHXyFbipYicuxBPeufBvLvVfPa8RKzdow8D2mSH/8lbk
wPCxyUX7EgznEfjTTW3LCLoeDcbff+E/f1JENBHn1dANfa71L5+UKsoZxhFkksdZtZ56bHrY8L9j
4hbb338ST+afH9hL8hJBUAxJyNn8r9//w9LSVo4LGtEQ6Etlti0GK7tI1ac7zkjTg7R4EETbPXGa
qbZ53zHu6EKbuEZCbTAxN7ibI6MIbAkwY3C+9+Ujdj3/3acjcGD00JVrt+1he5rOu6YH1FwVKRbR
WpNpvFJOn0+7kpgbRq5EV9tV0B9xH4QHlXqS7j0DYKs17UbrVmxdX6PJbnu7dMiKbfx4P3aC1NcK
7FJPfslt7TsTUqbUSOB7k+BEHma3sV3l78gKqqOHymFrl9FymCMfBs/QBsei7SBMuot3Owq++GLQ
FFkx428/0pJ+nojPTj6j4u7cbRmrirZ+ptdoJtDio7V5AiWnwFfV6j1M7HCF551EuXRuOXs3F5Nu
PcxAEmvC4+wuf7Rs1d6GNuRfRu8IOws9MTacRrd9U9MQn1FIxS9ptGT7AdzVBzZfavPYdr8VVv5a
lyJCK0BEzFXe6Vvshe5NUKUberkH17OqQz04ZIjqIREPaHshIbqpDK9szzW3C+h+xhyt3JtWF3u+
jlqHA6chUmRouS5NX56GJsNtxCo1X0d0sFHbFQxtUITEsJ96CuJ92Y7DT0omrgmdoGtgNwpwcO8g
cYoJkPJd0TPq9cwr4MbhxfdCYmsqXxmGL9qOXijbAC4yrenQdFXese/RY4ygdtZa+t51O8hq27R2
DJUUZxJT+IWtn3kBbfpVXnpNvymGMDuIJNK7OuR+CzNw+QbLkH+DR4QAUKwQK3twsq2nfP9bqsR8
BcXF+4YCEWoxwKf0dsCw6a/CAd4753ab7AUWD/iC2pshKBbVGL0wcujKF9dFTjtAsvpofZwCqyD2
eeIjtGqPcF0KRILpqLZwouNTZfQaGVfwtSTMxHDsZjSXbYIn830oVL4QTtDP16Ko2tMiO9lssnKc
eYXIuUgZ8u4FbE2xYj2ofkjXH6JV0iCFii7uIE38CP6Roj8AaJ7OcrFooOVeEu0bxkwa5nZVbcI6
vin6KTnQLCYIkOYNP286Ih248D5lBnWJVtyKAK/lWox61w9Oe0IndIkLrKtHtx5pE2TzbkKs9STs
aNoyUu52hp/tMFpNsovaLjqEvl1xfyeSVuXE81Ey2IMoWPYSSi7DN3pXwZU7tz9RorTbrIc+rYkC
/R7FEUOEIXHbo+UgLpZWDpmVpBtM4gtjIQv97KYtie8sUPDQZapR7EwzI7Ra087y/AStaFa92zrJ
b/LaGTHPawigLqwe0FcjaIycOLWSW/wYB659yDOr3I4zqW1A5xBV5an+GBhc3ovIwIIerQqnSB9u
W9w1O/JOUBaSnDUNFIjT4nhXsYCJN11y5nWfY0BTp8TPQoaoYUtazDJyUDBJCC0ifkZ4RJNWO8mt
hcvoCt1s9E5j2n0Wi99BvEpcH+6f7i8yElLmbb85pOCetpNPX9sPreSUFdAvpKI4psWcXiVqeAtD
zSyhsenv+0w2x77viTBf6nNXosZdK29cNg2OUBAMOgcya9GM9HpQf9jEohVe3Ru8TgDs8mB5hKJg
zkQDZz+mjBXXRpaDnQX6cAu8+c4MzYhXD6iEos+06ol5fZath6Bfz9amngMkh1H+1ssIU5yppjUx
pcTq0ggrqwekUIRHp5U8jlBdV3GRb5IF00DZh9auceX4kxSqjhaGokPJu2Y5b0yn3bNXmvMYE8IZ
qjxZT6M9r4U3O9cktXoJ6pq03Oky4MBfNuOu8SJ8lk7HgQL18YqG1/CAyK7OdtoLQMB39EjyGlqr
JIBqDPwniqRl37eM3Bk7vIwSrZXjSH87Qok+e3V3rzIYmzmd+sCx6M2ygu/juH53GiRvaLcnVxcs
QDAtWw80DZ7sTZot3nYSI42IfnRv2rGPH2o7rrYgcdCNhd7Za9ACRJeI8cmV024c+/Z7HMXkuhAc
v5bzcsdkLdzluLTGlUTy81YHzMScMpl36B5INg9tBtJrcK0YpZu5Vs/UZdO9qDP3UNKC22uQbGuH
xeaGpr1aOa0VPaZ832+Yzge9KaZSczVkJSeW8xa9KqzwJtigO43trT8DPt7KhiuyMnDc7sCYgjBJ
WLxeh1SbHwKkp41APNL9MWFIEu5kDVO4M8vXjPJ6lWQXuUXQv5MO3xz567B9h5MBAw0SBRNNi42/
fGDt38CWc254Cdv9kqMVFW5UfIOn1J7QSdO87yEUOvNFSAoNbpdlqBgdIF54q/QVcWHTLYLil0EQ
7JVEFr6qEbcLm/ydRHexM8gjCua7DoLKWI48uYUh1yTw2kch4fFnpj00KrdWmNftAy6x/DTNBn5p
2/fHnsAzVvm+RpVOMMd+aAWT9aYE14Epchtr4MijQn06d5W461WZbWqAvt+a0DPb1oNUiTqYcEdW
i8lEzRcbEo1k2uCHRdrDMyZCHCLAVcefulyIzW3sutrk8JJXC1Hy1Iz+vLOssCE0rqmOY2a+GiGa
0zTGziOJA+0OqcJdpofiNC8g/5rIpc3mONbwMhRF8uUvhd6m3JtbwMn2MfDbeGfVkX5YCITFmh9/
6qjtb5zaSnZlhlJRhjmSdrINi8MEoH4/5iiQe1K2kXLZ9+3ihWvjpmJH5si0W2Lfo/XvJfUpBy+O
e1+QdOCC/EbKueyaKSuuPGKqylUHIHlcM0se0YVhmRGTKK/iWhQdwQxckUjm5T6uI+fo0ZwniEpe
FV7/NuupOU/NdDOBa/uEbNATyeUq+N/lxJRW3PQuuYNRbMy7ayCEV3Y7HCt/3heN9YK5Bp1+v6CZ
RWhbn5oY2HCq8HUnvayeJzN1NzgR6F2zCR4mlZzqudLPnkrBwCCr37TRoD/belzYuSkKaKc22ZqW
27hRgrW5aGRyE6g6uXcGrMxMLiXkAkHGPeyTZkMjY7ijTf6qZog4jdVfp2IoYWyMW8Aa2Ie6QhHF
N20gFoewBZplj/oKqSmjWcMc5yzAivOZWXZPYe9DxM3jzbxgggG2HApk7fWLya1sp4J6OxQkjMrs
0I9Od2Q+zSyPSRxqggDBMNIQ9j6IvF3mo/y2arQgSPsbP9jNEjMrRn8rPEUNziPhZmgQyqdhwhPQ
4snecIQiwTdRe0r5YhsmKKhlmhPnzbx67/L5K135H13rx28BeL2VAvhhj+Dnl3w5oL95njvQ2cQf
nzqrfwlzMdylA7bnQX+LOos9OrU+wqx5EW5xhuL7CMwDa0Pl3DKl/5kUP/UYDnvEjT0pSckTeVbp
qmoVuoPgOvOdsyUIwyqD3lyX2rrWPEFoVCPSFEaXEcoU5LsEmT+7FIJTNexd2Vavi/tJK67chaJ1
1s6YV+uyVehYgDVyA032BAjZsIrVz3oJX2Sb80/7Xqj4+9T416lTfvOE310ZZFDrvtSMdav0ORUR
dMnqidCMb+AojwxvS5yk9Y0rIczaAmeGVANzN2bnKyhM40oQv7HxfPoXaSswLo3tbpTlQ85bdWTc
8YO2w1GO88YKW3+FtJUx9wCzNU/jg3TEcAuTzL+dVWB+QhGLaJr5R6Qz1SnK/Evw2bjsqzH+gZqf
gznH/aeuRZl7OeTzygID+kgXR+0qA5wqrvydjuzyNBclOsF4TC+llGzRRCBtScuwxx9S55vQQU0Q
1fVZeEw0TD1Rq6g44nA/ojJPOCKYMSs41VvUMHzhHNQ/SwFRKiF8EQxz3G/Orc1qtIJHaO+3njtm
ayn094FIUtNR59eS6rMqkLr5MWu+Sijo3egBEvbZzePXbq5vKsQ/q3rivoPIsRlclvqYpoti06+f
7Y7YWj1gxZpy9ZYTVb7BYaCgz/wILO9VljbcfM2ePSvDTdPFixJuD/BiqF4mmqErqPLlQaMKO3g4
l7e4DeeVak3+ng09UCEvxcdIQ+QU1JcJVtAS1l2BI0ED+71mHLEHDso3JSGYYMvh1ndaoOeVi77X
LfuvgMDKWyaTVHckf+9mlCE7i2kHBAr7XHNm2eWcf05jHVMcYRr0hb7THQcMX4XtW4q9HEZO3O9p
sTy2oPOxxGGrGZIbrGvdrWktJJSsHVsviuW5AURJ0T9xbs4Q1d8sAtufzqZiZyOTpPrXry65Hlsw
sfZOZNAHEmjd62CU05PAEr8KatyZo0Z/QDxp8zHxpU6BDsqNnLilwunVQZAhs2e/tW9Um2KwwZ52
IlCgnsFkw8AUZ3tugewzwD8X+LNfjNPIl3Dyf8aTQ0YVRNx9Wrr2Kxa37lA7ufWo1KB/wKdJ7jqN
OACLDOQw6HZ70D7DfqpAoozIccCPmGrr0cYhZywNVnab6QRpJ5ZD6j4TPNsX02SfdO7OBicC4Ige
H2Qfg6a9T1V/NFVpr1Csf5tbSkX0q8VHnKT1NmsdiE6aUqi7yJ0ixGP0qnNqpdzGzdDWPvM7KU9K
d/O3Hu8+Bya5LXl9d+iq++MlsXg75gh1dJVM4JP9nGqxUKcgSIcN3qv7lEbUeqi448sMWVEMvrOb
6KUUq3zsyfQ12RlIsD7mZPnV0TjtIl50zlLIPTGnDIjANXUlA+NzNPYUuHWZAql2RvQPcXpUy6DR
0Qm5r8qOENKqmLc9lKP9Avv6gMs2PMVhRGxJ3zBrzajmOYA9jka434saUbecus8pcsc3p0iYNC/l
uZ3S+LXMlk+O4/ohIlcM7aO2kIRYvdk5hR6uLNs8C+G/8rHmVOvomEoiZ8iPbFC+zURjx7TcBJ4L
w43S6Y2wLXpDNbrzbdXb9IIqy6HrmMk1eQw8Pk2jdn7axPjsc+G99gnzah5B9TrkbNMxM9xVWPeY
U/GJdes5l/U9vYr6WVljtNZRqt7JGHEfMsiFdwJ68TadORoidcv0XSGiH6CBowf6cXKtoBYiyFIN
lqAFcUYUMIhXfXBdmFpfIwwttjKakM5NaHhUG0vcEU21J/igXiM6r1du4GSnOUVVA+ilgUzvYI7N
6+X7aDz7kJDa/ZY2pHOUea7pcMgfTFJzioNoXjMgSLaMb9Vt6cYNcPE5u2Y8ma/DyM2PPH73gEWV
s9J10h4m5n/XyVBjH26a7AoTM6hsC03qclVCbSFCqneH+xlm0+eQj604WUhJ9sOI2WztyiV4w0ht
Q8gaA0j+uk+zLxwNOli7as7Js0m6GcoYZsF1aZOhQkjA1HkA8TUIKen3W7SFnPSWbnmyBeg6NZTs
jnPhbZiaPJKgxZoZ6eKjiiEUoPOfNuE0JVu7lmZdGOU/x0V9VXSQpSpHn8oA/UJTsHfwrpbLudYV
jiNydPgWwWLQxjH8XjHobV74IP1clXXzVlzWTqepbpq6K3Z5rYJrP42cHTYr0ExEttbfVKPcU+dX
Yrt4WBs3XtPGB8ePh+exnZfHIh7ap6xwvbMNT2Y7WuR02rUFrsTK6bKbUpUHR0WT5qOzHpZPvJCg
OZPrFVz8QYRQlHAXFwgq6yQYrW2GSNJbeamVr8sOx3sbJPTS5xYuewHMBM1p35PyLFtTMrAe1TuC
dQH0eQyKp4D156avwv4n9E+rWsUcJvc9lzq8Zv9Oi10m9EPsG1av4gHcdLWPhhT2FP3LlYrsBDpm
f+clSFro5AxrEw9yhcHhhoY7rnAgQWaIL+kmjrdDQ8vkv8BXG0CWuEAU1z3RTEgKsU9OxQUEBhvv
7KNlWhWteQnaLE9J+XIJkq2UfJccpQ7RgLRCAxzfjsCGmJV1/QNHypj3vyKUDMvydmoVP1WXvoFI
prrxSVWznMLe0/r4XAwWPiK2l1WzjC/9nJLq0KG6qcl7iMLYvjMCuLUbhTYQTKvAx4lOtO7qcg0Z
vz25YYZ1qO63yDNPsYe7es3TAv+OrvCWrk5/DkwufkxNQKwykTaVQw0+B/tO24NPK1R1V16g+30Q
+OBQEm2Hn4gfoj0OX/VK+0Pd16HpHpIx7N5CWO23XHnOxbTuds6gg1tqufFifA53FW/fxh7Ezy6F
oxYtznTrLwQzr/DGxT/owVLh0y9XV7VLggPqFIOieDBBEOxwklmkdyYtoIGiibrui6BYh+g5J15s
GHITY8fKr5ErGFdFz+ylPZAdt6Sb5c89x2CCqvVy7KJZ4fKtbEaqYYcZrAmqc+cX+TNBGvHWScP2
2iRy3MT2ZeISZ9b3GUbohAxuW6YNf3s/mgd/VN4ePIF9S1sk4K82kGUSQ0fPD5Bq7SJq2QjtQivK
WyBj2yolZplJD8wCTfCu8obbuCw3BM4bFP35lhNQvFZaffWLfq67KXoGi1Sz7Sa449F9mWoTOMtb
VU+vi4F06HWF2OGg2FgGXG2oumTdzFl2Shp6Qgx0jkmZWS9mJJIpImz60nbH2pUuGUGrE4a31AM0
wKmrTfz8EJJEtTPwZWi8pNo9UsFCfcw08bM7u2NXJN8kBGPlE2sOaT3s8pWHzxjhtIV0asVUxbpp
jDs3O9sC0b2io5E+Ilj1ryj6mqPIJQT1LFWPcgB3CqZGOjCxKsOUmoaHjAERiu7OuBhbWcBc+WQn
qiVjKeEQqTmtNBs39vQJk5MN0cKeyU8KjV61CW1NewzkG99rwWxagUpoexKq3WVADsWJpUQ7lmCo
gf3pfhK8QdGLcSXaIH6Ek0FnUT2H82WxRAJIC7lwY/fLkwUSsxGb4j5nhsD2Rr/kFYVU8NbNaXCt
87k54/8NHhh8BkcpXPfZ9kEAbKRvpaQWWB68pa400bdhDpuLxaeqjyiEO5tn285op0madr0PcnGV
DxgrNpbjOT/RZbnPqIxtkMS5+iqCGqZAF5nqFkc+smeNIX5ZtZFXfOIwtMkIRlZrMxl5zGCoJpuC
jAX2nUZ+nwMvuEVYXv4ogyWmY5okt/3UeOh0XNS2pk+q99yPlpMi3hr17RjRhigtDkxoTzWYKFxe
jxFOL4XB23PeDTKrw6i7ocKAlMq7wia/hHgKk9yRJ3/J+bN2AhzVi22i7qupRfPCECl+rZKq+Wbx
7m8tw5XPuZxkD1JJHuY6W17juUnfQONdkFCg1b4Jbcl3usDe99LMZj0oAtHji2baM5TwUJWCbc0j
clKW57GlNPmWyOfpC+wtAQ/0bda17ZEphEa7Ws/wyl4sxEtHd7Lnsx7H6FuOnmltBwa24BxmJ0mb
GdCQ1SmSLnT8vtBk4QVoyvZbWHfxaaHWpqheAGkWFIBI4iqT7pLBf2Lzqn8Odd/c4c2x9wwbLDRk
vsZFllEEOYX1PaPdgxAfGQW9GxttLXCNPSEi+Q06DoRuLPtEYyAyu2NcRrrVlNDv8jOyvFe1qNTj
bEZYVQSl4XuafZqQnjD5WXRjefTGOTxeuBunDOXWJzxMBoMNbIJ2nTtExYEczsonkgxte4MJvjmz
YIRqAyxY3gmYtM2eY/Ik1oNoOUXj4M+rbQ10jjpbBuKDgLjxnob1eGfbcfvoI7D96bd9ea6BHMIu
iOVX5PnhOYacfJ14gWWthTO4Xz6WhJ9ILkcPukDTE+oTh2+51iYA6xpouQmzi4RyHj0vRuLnygOP
arRJGZA+GZ/QT+L3fFgpXmzsB0t33ksSVNVnnegXJ6IrWhsqkmHGKYr3L3EwPvhtcYeGf36vYH4Q
xETvtKeewrof0HpfDqajredHg6l2HAO4yL0aKDAsqRb7lKfkgG5SmGbMG6Y4u5mnzscwxNSVNSKp
w52bpN0VdgJNHCD9it24tDw6VT1U5VoQqrIH9McgWuF2PQ+tByGCR0Lc2H1Awy7oYJH6Mkjee/AO
xSbR5g0Mj8o3FRCq41Dp5iHlRoU7LzTes2FAOG/tqg0+KY28YQUbdf7I0fvSXClVkB9UULkUUig6
5x1Pc272+JkvnUGUhHIdRLX8jpFIYsOi5L9KYneEeHjZ2SI57pPFomtvYQM9JcH8Q2sAokyOx2nF
0Zr3hBqJb8AwwREScw1bLn3siTkOtJZyKT91Msa0LDuC7eWMVMRxrn0ItwN7gafl3oUblQKhniex
IheMgYfLbzw53TD05IR7Tr1VyQWT3TtBg1MkzWidGSf/iI1HFK2X+WJdJh3RhwEK5m1Vxu0HSlDg
1ZMH0n5gdDNfEZJZXhCv8o3ccbaPPOHwVum4Kg66LNzPvCTxftZezQF3mZ39PFT1nlARuS5zQC0o
khuGeWF9HJOeQVnAMO1ORrQzmUH27CYmNh9LrhxKPGHpV9yvFRgHqgmQwV/u4ERXvuVFpxy11d24
uGD++NrmYhfT53nurQ2zWs74c7HzJNQMi2nfnrNNk244NauvNhzcdBWVObCS0L8tmfvuRdImT2lV
kdcrQMQeSCRLhx1z+3RXG+/db+z5wYJo8WFJWjtQEK6xNjefve/mz26QlvZhGZuI5q/XvkE+QFWZ
NM5NqRrrIbHE3wkxLvKHf5e8RLaHCoqNW+Di9y7yiT8oFtLCDiCatuHlTM/wlBPzXSBRWpadyti3
KVVvB8fKn+1hYCv9vWDC+yu5BBIUpqBAuRDe/KLvWYQF5SOawv0sk+42kkofBm2YItiM7VGX2yAO
UrZWKIzD57iwpei+r3ZqKAhE484WCntFCBh3XSpS8MqaAVONpH43UsYzbxbOHfhZl7ZMJQFBs6Mu
By295jR6Ocpogy4VL/pq9OkNuii1ynU/Fpjo8doq9npYpJjVxL6aCmuVoQ7ayAv3qde9R4XiP01E
Pa78cXbu2kx+5DVkKSsYyGazWPDzBkQVYYgXqdQEEuP3l04QvPHrfYvo2cJNcwXdweAXEVvFo8Tl
86jW0VBybrDvPG+aG3x987F2kCyNM9oMF9IAM6Ie4L7p511UbqkCLhqDUWziLImQJadDHa76Sm7z
CC22jcFh3UwWmQs9592yoAB28/xQ5yTe/P4rXISkf/oKPgMtD4g8eobwopz7w6OXsZeoIdLR3tYq
54gTDUu5BuWbXi1W9+BMg9wMbM5rsK/pybHt/icTr/6o7Ytaj4ab78D2FWbEiFij2/j9T/dn2d4l
a4Tsb7B0EcrUX65vQg9POhKqJzxJ1tDJTaJr/Of6bz7mQsX700WIPBSPvAIs7c4vn6MYGHsmVtGe
8edcsH0H1mGEILaZplL+EBzgWSML0jecuN4AWJEPGUXotKExDrKuE9Et1qcC2Qwvi/Lr6hZjPSSe
Il6QUWf2k+oK8/L7S+P8em1Yr23H922kk8A/WDj+/ca1ZbvQkODZIwaXRWERtb8ObJqDwDkwsXEM
eYmK28bOGkAFFyRCJex1OpTpafZmuCg6mz99Qsv+mZ70/yx2BwnxR0OpBGi4+8/9z+bmvfqf7J3J
bt1YuqVfJZGDGhUNtpubuMhBnb5TL0uyJoQsyex7bnZPXx/tiExJEWnfAAoXSKAmYQRsieeQ55B/
s9a3Xpv/gGweEzXMmyv4h1ie/8OiL3urzv7xA7+Js8WnWZxKA8KDjYAd8U9so/Q+ueiybVeAYbTN
73/zL3E2Zh4HXb3ghxFM8qltCtWG//i7aX8ykA972AZcx2HOZ/wlcfbMhnzz/ZA2babHkQzP9Fyb
Y314PhUhFGBaIGvnhyj8Fww5QmOtDN/Co1coSk9ZTOmljPwwBIRrSXigwUh+H2FfM72pdbtmgYXX
rVm0tAZaJx1bnpU5CreOpvxoC+xL20mPfE7TMOzXkZIbvk7uRgfbSYmBJLOEOt3ror3Ig3WMo++S
sE3zymsMQdk/CgRBWg4Lg0SQJvCHMzzEN8TNN0vO4LjVS4OA1MJsz+KG8oiSPbZRxKBUPFAIL90S
k+VU9xPChjmToUWrNdWy2BBbNjFpVLNUD/p+UXlnfqAZ5yi0gq09hexVoug4mjD6yToQy4kubVM4
1gtAEAeZePOcZwk0XOIW6XEcsgwHf9zHZdFeTZ7XHxIshC9ehSmcdFHG00b75A6a3CHJB2OgcOH0
HseUkXj1O9c4b6vhZVLK2eh43xd2rJ0LZmpFPH31qHw1GCNt5t8PlXVsq/Rku/EKTNSBPnNOQsih
2JJFZxey3/iD9ULxu21sLGKJGEGO8djCDnkbeLMMNmL54iTzxCpgLEMHcZ/iyFy3rvsgYv0U17iP
JCwuWimycYZqDT5PrlDEgEToqfhYXx4ygm3giNnbQWN5pdL2MqlLNiETvqC1HZCNwaDn69hrKXmc
Qr+CcmJejGouWCkbH7MGLM+iEF3wbPoMMsJ44DdAgQa50tvPda00hDmVvMigvBytQYzfapbUC4yO
VsVUZQC9V2b9iczEC90oo2/g/Jhkj4CBjYBtX9ZAHqAtbF/KRLGQkdq1UXmHRLUZKWsGnL5Jq60L
BjY+iDN5mRSut+rFdE0g4FVCsJoW9C4IiqjfO10KrLNCB7fQE9+89DoWGJEzPmOLHTZSSx8hiHRn
zYyCN9OJspv+5tp1lbN2yyrmMS9ZGAj6IgIn1/lgEf9hkxTdJu6FodnOdQte3ji5rh97SyQcRoWS
SYvIHrSTDKxllpKGCzwp0NY0SKJi9MGbXaWMwrCtC+UxIVQRkdL25Gc6LXcseMM0M9fkDdDoxFbW
dKsuslgkpGLS9aXq8GAsSn2g8cbwPAaraQrZgbhG4bvE7/qE0QexgTEXf1I4LGglu+Ck2VHW7hRE
nBZC1ZzcGCd2VN5rxDmS56PleKgYCkug9a4+Gx07mXfnTkgTscOIXI9HZvRpv2ELhyKWJUwNMdIk
+nqfOKlWfCsTAGscN/b4BsAD9ZYBsU1kEjChBsrkE6e0xqkIGR1wl1NsQ0uMENCcqhfr1iRTduNn
mmxeCrMjJrkwcG6tDHjkZERXnvPI+mC8z3u+MV4b+5d1UMsRYrsRVQuBUbzYMUBhM2d2DJ2WIh4w
4zlFGpAPkaScLJf6tCYLijlT8JmVHN+QVvJVwJiNagVVYhMH7WsP5dteRWFPvkQSR0ZyKYqYZL1J
2blcZ4AGgvMwybn69liG21n2265xFlAW60JOBImzWmasrULX2AtyZtLnio1XtPHchDmkmWEaW9id
MT3lnksmNTFa114+IZlKBQdUJXJnA3/qfV7ind6PPvGgi6pjCwSVSWim+QiSLTzLPbt96vOCIjsN
h+pMFY2Cz0Q2757w5OlJznxnyCILFra3cevehu3wIPMYsVZejV/AZlabKQnTKys2uO1hgN8Eed7e
MNYrNl3XyC+ByboNGq49PRr69NILBTdVV/mdr9XzEJHxKyZAZmbtUfB7UVnSxcL1gjzVZacWXZG1
9TSfM9qNQCxFgK5zgWuzuhhrkO4aMG61DfqyNdnPYXpbmzkBVUfu2ncdm3h3I3CL3sQZiN9rRMO4
9cjwkiuc8+LIyB+c21i3+gC1JUJgndoVXCM9TcKb1DWAIQnCqBZ9RGm8krUd3dbsfrrHoJjamvEW
oPV5hIxotYJ1YDDl3CX98HVAngJui8+ysZCB8JYmdNON4Tcz77bpLplsRBe2lgNvwPB5Ji11NSZI
8/1QxFdS6GpDMG/+WZt096R56fClGZzyqtR0D5UOG9vbBjPj1eiTrXvZeUXxNbccZ4cIst/7XeYS
bKZk9iT8yLjSGgQTrtl6FwPB7xVQk1h+DUyp2KcmyJzZ/UTwQS3lJwBCLflNkgNzKkfVf/PDrmfF
ChiEWZhWucvG1cZ65muE4dqlTUy/oRitgyUYH/086SiXi8IQ91mvxVsWnwDkPErQ9GTgh+SuMIbr
Wfh1W7B/CJZN0uevpiuLb52r9Q/sC1UJ2zT0mAEz2gH90aIdiIapIl09ss6CtNGyszQp7Vsttqrs
lJeDTHaJUdio5sFwxWsSGuQDil72jXHjDdu49AvzAOgd561Wd1dMpeWtXuQpObFtZBxhxbqfISc7
j5PiCRKN38dO2Rg8iE7Tr8yB8IxFOqbDWTFCW5Yg93Z+71lrI3CMI5bodt/h2YAigv5sBQR/xv0m
uKY3smbovpy00TYX8K6bzwNOy3M6GvSkQ9BUaiGYCtVnmRYVikyObKbTwdXDJa+zH1D6NKZrHMbF
oWkHhdbNshrnqo679CFrSGHbFAh0uzVwAd+CceS58cFD4TftyVJofczfzF92CN55/rEyYjfdOaY2
XjjCD80rUBsNDLAibjuWgmQpse2ZcZFlyFuH/JwGpA9rCdjcSBoJo6/ac4JTlDNCWYLR664Mk3b2
YJeTo5/6OJ6ytQ5pRbKNLq7RcM0pI7E2qmu/ipzyDmkPM3Enh2WDCgaHor7OE77yXojGpzdEd5a4
Bk64tvJu/SETVzGVC9wFDCtIAapop9mTtfMcOTBWiswdz7PsgviIbCfdhtBSEhGIi+iAHWskr5wa
32bplDeWdozQWpDug7SKfXjT1c+DRD2xoHOnfLD082bE2hrVPoJgojRqwknWrcBCwRoWLbOhqiNI
l+Bz3LDhT1gEsastRXCLrjsMULnwdJi0YtjjyK3KU01eU8Icz469HYMxyWUtW4fEpji020vooPqF
bFzrLNVC67Pdt3ju2C8ROFTMzPI5CFew3o+xe2jStz6PpG5wmcn8CNbeqNTNQEwmESv0n4fQnIIX
HnPcLP26d4YF4e9WsEsjneUb/cdTaWTecbT19HKyi8vKNYZtAx4PiAsiszqfnFNRl3JFQPexmlCX
5CZaCIGgGwaGj0nemZ54YMQ3gWumLyUz322VVCTC9paW7I2WEPkFrUz1AkeKEoyFMLsyNBQomHhA
lUPoYoqP6piUucayN5Xl6pgyLB4E236gbCepqvW2TdGb3qIfhukiYT2xrNqxeC6bESWfhq64NYj5
WBa66UBpsVLPXxlpFv9yKvaLjufDRICVR64XRTvsbZYWBB04TX2AYRPfvukBL3+M+N4aUd838T8a
K7y4tPCmcF3T+TB766YsL3xf6/fuUPf5gm1SDE2ost1fTKreDxjn48zX12BQpdMR8r/vhwWGp5kt
piS1n4hceYrnJ7yY4byLYCRCfjloSfSaAikBBYFYWP7i6OZ8tv413/xxeJfpJlmuzL7Fx7cZ9UGi
lTXUT7uOyg3I0PbGlJnYkM1B5GnfpFey+h5daI9fkrEYVgHVBIE+txPVhf29zGB4nM6FRy6o+6fh
cnCLYi+sCkSFrgfs/eOpJUtHw0F60ZA+BLuTBR2zbCQueJ9+kRH9xzdEJ6wzdOHEShPpw/vzOVl2
iARElfspahoyUCD8oFUoIlKFFEBEnvFBKq1fuJb/eFBLFzq+ZUllKgAlvz9o7YMe7RKv4aDBdGKW
TC3dfsFEcoDpUz39/JP5fi44XzIOxiyMN8hvwqr7/mCBZ5lEz2Xtvp8ibe3U5gvz102mD+0v3tUf
vwIWH0vHwUPOkAMWx/sDmWyWS/Yi+T5SmdleEGHr8+CE1qJ+NeX7k/PHnJMuch506kRBvD8SaEI7
dlCXg9oyxDFUlBS+GsIAtotn4cUyLbPZopOgzyvDvrlIcIHYJJ07cAMp+bDpUf2VAPxXba38aTd8
rw/r77Xiz0/+H84J3nQ+WtiIDU6LM3v13w5lWXMHxBTLaJ+Eoe7uS6naS7TmNEt/+TgWX3uH4Gbm
INbs/H97HFGFTRUEKtznZImqVe1iz4AjmKY/LOX/fyh4O5av//j700sGZztq2jp6bt/O+PigeewM
/j254fCUZepv/+spK//rb8enBqNo/Sc//2NI6IpP0Aosm1mvwYoIRMjvBAfX+oTdG/kt9wT+ELO9
9vdsF+eTYXmOgc2eO++P+eFvQ0LL/ERhysLH5rmAX93+S0NCkgT5sPzrJo/K20b7oPN0ef8hyk0V
GEoBbs9QYWLJ83sDkC/wVnDr3XkJrqzAB0HNR9JqH9IMNnay1jWS+EYsonsqViLlQ9c5F/kQrpCg
uJAY1bADX5SttdYHk15qgVFsFFSsFStsjDu+1Syqoh33mclKKW3g4w1e2mzdNtTXTaWHuyKrqwsD
Fvk9zLQaCV8RbjMDEVFPjOQRJou3J/rNWlhRnpHSFtaHLOrshWl40RODSAGB3oSo48clQ4KmsJyV
jO1ym5CTtOnGLl0UZc+utA+s+Kao8tZaED0jTxOEYQhSxdC+Bu7M1ISmZN62uVZct2PFrrWCPsMu
VZqn0hy0jS8Ln7wx+4VdGONHiX6ZjggVUDHv+5e+iRaqCIXPKCnBmIG561jFXbkampyozoTmZpha
a2f4iXNI3HC8VQkPrmMD7N1aeikoUoDsmZ5hSsoc1Iw2CkYzVZg+ev/oxG75lVCEjuFkqa0gbBvw
0GEaeY1evxKhntwzPS3vg8hTdA2l+eCGwNqXuhPmB6i4xOWlnmoxzEf1s6JVPFjKEOYWzmWiU8c3
zr7XgB2SPRVpt5pGVOwZ8kefn1Op9200JhrrYUISFKVafYQiWT5pZZQ4CxNr81LLiF2M9FRfoX/l
t0RlSH+orLpdN/VAhORkmdhVhbGaIDmtwvlfcvcfCUaNlHktTJV9q3quwsokl/SO2z+uWOBnZfC5
sfBuLAnQqHAzIZsx0JZi84etJ4OLeU2597IqvHTMzFwaZT3LtErKUk5bjemoUuF46TNmXjTYFZG0
V6V5WfMSn3B/K4NQExi8+VjhjHE18lHxwKGHJ2fNZC+TYQlAHL4BWOV/G0vBa2oyUmPWnRF62hK/
UxGufdrea1c0/pOnKxAojg8FxEGYvmbg6CDSJbCObWll5CeiiEjqdIv6CvtVWiMCBd+9wVsUL024
6NeRnWK2gje+HHzw/rjfWP47hQHIlJi3FhVBTy4dUsdUqV2M4uLFd7TxacKD8ZmoIOnA6TWsb7rX
S77SgcNok7K16XH3SpbxVkTs0QItbNudZWwxrVWaEMtApKuJHBF4nE2LljFdMTXYYCRNT6Ra2qRK
k1odD4gqKh7EyP9k7dzg8AGrb5ValhHC2uSQzomMI6Z+UPor0KNiDyAP1UKbTbCqqiCnn9BInzkY
dEMNwgoP6fQwPJt6Z+/xKTrPxPWlO7q49noInPI0qCBZTUZlX3JSPIx+shzuBi0Onmx0nPsMsOK+
HIkBqk2F2DoVjEdclLE3pAFnvNcJSc0y6zuu0+CnLXHXqARWuAcjMkGFp8p1XxMsgGgruPHMEq5e
V3qvtVkAlRparb1jJBd+RcjUfw38uNuIyh/PcYH15CjO9LvRyS4ZbjrtrGJn0YKsxX7U6hF4Y4v6
m0TvSS9ODLn0VQ/+/ZFfku3iUEekyjB22dseSvnZu5WXggRccpckoRPrqJPpqR0t51HagRujY0W2
iCyVcKYWRNa6hEOHgrFMOgRWBgDnznScPUHqBaFApFiupDtftdY1/VMcu8MOyqUkRQTf5noopX8i
vyVFJaTpJABUtduUa86O/uSUNu5bSzEHaBrvmh3RFckD/TIALLfobJlv8BuMNN6OKm+F03nHrMQ9
F9h29EyUvX1QzoR0p1M6/fOQ7rvYitYOkqulNRXJzow0Z5U6Yb92Khh8fNXrNRpea5GTd7eqWjKN
RDDYX9KgYYAShXa9dXqUPki/onPYItNZRgkMVpaBY4gUe6UXdXPtcJ+/BJdLRCsl2LDsoK1uRR/a
lxgHkluj0cJXw829EGUdHlQlTQ+61xDvoCjhcsvxf+d2oB1KD5yz3Zt5sUwx9FWrss/is8DJehCA
Vj99JWOi2cVJFl1DzSfvcGivwPt40ClivrMLcBnmF57b3pHBUQOMwBnF1USWD5rdgOFx5enZQbbN
mF/YfjvcxUMRfovjJLhWseXfmuXACkPTe+9r0DNf1JraPjcCs37qs0zckzBVrwZ9kkuyP7OdTaq2
i3/K0Da5YAW4iJCCX2WD5WJemwQ6m6k/dbVms3AKXZPVk+ETzUS4zKQH/d7DC7jBfGvtW62DHOgY
bbtxtTi9dlCT4733Q4OxR0iopWNFmCzcbnrSkEkj5iQrigippACNzczzFEZYqAnO1FCjSvs0yaz7
YjZBvGFqpZDRZajUvQzadECUO+Ypn/kkK8P8UCVWeU66BU3g5FXmq4X88xxYwLBOmhFunC5x6lZK
Ns/+hM/LmHJzQzqMdpjkpF4zyS0ZLmh3Q+w8vRw2AIY2biAPCImSJzOCXYA4wgwugiTUEUGmdbSp
2L0ug1pYkB8QfiyQK6uj2xsG3ha9X3marralFRMoahfc6TR+Zh8ZQXJC/D9cxug9t/h640MjZMXZ
JBXW7yGSI8s1ocWO/g5WXnPdO/W0Yfbj3jaxN1sUe2s3ZbjZkVJGR0kIU4hTd990Gt6bieywhRsL
9+TxXP36vTb9Hyvj5wP9c7kPHuy3A8+78nf/Q5RT1I5XGAzG61ewse3vJLH5X/53//Jv/y22miHs
uev59xX68bV+Sumdf/y2/cs//v7bj/xWlLuU3rTjnqFLKH3um8BF+5OEdiO5hTgILS2Xevm3otww
P7m6NGZ60ywa8hx6hN+KcvkJAZgOgNhAiUJkrBB/ZXOPKfxdUU5BTmeHsEdH22ILyxIfinNPxVqf
JEaytvBHCJ80cqDoIo2WVIbqRMx1vfRJ7DkK7qg7ov5avE51ggIo88qzMNHae6KR4dzmkIUfkIb1
zlLX82Kf+gbbTk8mEpRs2OabwOnkhR62Qu47IfroVDtV8WxPpJQ2OTb8g9KFwpRaRKrbBChRYQNM
hNivW82bjXFRye4otnWxCjOybfLSccCAdJAnVtJCN4sSDObJYuyGAf67lmCjG7nbrXMjHE7OpPtH
eG2Ea8tQF/fV1Jv3vstUvwm1/oKlTBkuuqnRFiLXg0NnSDHTYELsv5Q93oFwFhATwB1Yg2k6IIsO
xXh3MCn8MOPQP/AkGUPzRs97lu9J4kXpCttOBeAjMLx40aNtyBEKsHO6CF2yOAjUYdI2S7yhEjRV
n/YXggVMA+TRbht8rDb7vLJIGPSFMSKrhXKxfiyjOEPOSMLayVQaYdJAxGsCk2Pd2RUhI1MwVg4p
dWgXxpt+MjMLRoXJWrNth7RdsryIWVFz2wHJ0JfJc6IVU0khpPB8k7HLAexAyAc9auKLRPO9HVfG
vtVl3O1YoY4kqozeJVQITOGRF9fDumn04jMifO4pU5wN/lbgpMVfOGBapoYb7kh5d6+SShfPOvK6
iOEX2vsFYm9OjQzklC1IAEnXymnM+0pF6l4GhBht+tQGUyP1jFs6G8HqGGcqv7HJFSDxUFbgl8uW
ZnFvD20IVga34iqUHGHltHqXrZWyrOs4s4udE1TRVZPZbbEgAVg8z+gq3AuhiTmYuq0/j9MupNuz
iHOnNcEIEMLI9ScE5SAyvYFT4E8eICUNJlLlRORyKW7g/DtDPFYuPc0iE7qF1xRvFb5+7Hj2ptdN
eHwEUTNfHKGezonn9tTNwSrulyoPQqwTFvrVBhldsqIYLtiwyhICql7W6pswpsFe8SuwpUR6SUGS
lQmQDFNWBEnCbuRZZ+X+VdYhoEVVnvSbZOCNLfA+1wb67rHEJm229akiZ+RFRXag72Wm6WR2Oqpe
iRTVo1j0dijZ11htduN5kVw1rpIJtNgUpcxM/a/ju3LyzjGo06CounfJu0O0e9RN8jgUG62UKCeq
GgLN73Kz17coEqa1C3n9FHhNehyBwG2qgdTqZZT0bn82enlrXBk1jvm6p4fs0AsRVcqqkLynMj7Y
SM1vghBcAx6EbstivZn2dOnsSJPYOdOVBJfdoiLsOYAVslomk6P8yq4Gxk8HKWCZlHxODpA9knGG
McFZqsaxw/xnkYeRbKgT6WjYwcesQ7MYQoyvVeE1ae7ia5L2VbliUIxOBgx6Pl1ESYqd1uAro7AU
leTW9zIYsNx5pJXIvfDIErywAjVOZxpaiTss4C7+G6t11EYN9tjH6EpN5e7IquQ2T7p4KDWy9thv
s4Sunth3HXOyH+lgKf5HwNsAyyzkgQqHhePwbhf/2yF4XFelqtYJCW84zbp2a5RlsvmffW6/fWz/
J2nyeMLOpMd//3A/PSVN+PTSv76W757wP37utyf8rKWb62xIcojsvuNRe4Cr//i7a35CgjmP5MFY
YgC0ebj+/oQ3eMIzVfXYeTBhRaH59gkPl5V1JuM410Sw7v2VJ7z1niQIMZXoDZCpuiEEjhdjHje+
HeHiG/PxleU2Lj34ChkD7J5mL8jqR5TVdJCuvkrEvFrCY+hLyLxkUd6FwJtPRdM9WH38RZX1uain
cUsWpNq1VXuJOcJdAgeNVgWPoVVVQmKonfShlfQhICweeuwcHtwMFluMNBQJztDnkY/FF2+uxp+s
x95P7L+/OTiQlC8WBlsGlR/eHDbzsCXP1YYDFa/YCGwS/1tel5e6+JUO+uOR7FlMS1qhh8iR6ao3
R1e/kUEHWm24XZbZKzAAuA1ZSuca4BwQDWWw+vmbmuO03wxKXRwbcws1/2ERhy3MD2pKmuc+g98O
jkp0z66PgMLN8nv4Edy7wMz4HcFuqeiSlV6JcuV2qlmC9u0WblCFWFP6djepcmtH7hf+1W2eZ2ea
Y04rXFIPgdYfC+E+kdZuc09bOaL4WhMxsiwtJq/wp0+jHdDIOBEaQEunvVfN3gIwuMTQM6yx0PWr
0B+fRDd9qaro0apcxiCJ7ix/fg7+COBlSu05ukOBSzSIYc4f6zfn23dADowWdsFCym0YszfOyBst
wxbDmL/1iocyE3SI3dIMU/LAfMxLXfbCjvz15y/k+4H+NbWeLwbqWMtk1Yy8lrTQDy8E8z3hBYHD
BKqd8W1VxfRDcx9k0NAfG+lzqgAFxYwP0vRYq+m2cMarzo/dLWOqdJF55pWl6pt4iFaDU20ZrzxN
cfCYjcZmSp3rX7zYP1TzQtAUS5bFwDQdbiHvz1oe45xM2oGkcB0znIMMxNX7W7vTbypNnDGGvYWd
sCfBbjcB4Ysq/Q4ZFBo921qEzNbrKcYthz+pNcjeYe8bCnHbl7W9+Pnr/MPVdQVNDSHziJahK3On
e/86qcpcEUWuhqYwvSmhJm4YOvQLKltSd2gI/MbgAY1nwBYtAUr19NhV0w2Io7WiPPv5i/kYOv/h
tXy0t+hgClISlfyVz7p7gMqSeAalhbWwpbkFe/eLw32/J739QM3HE2jzYY+ydYFD+v69u+SsySll
h2i1lL8qwBEt23qFkIhPhX2DWdHcyDErCF/RiLCeI5YJIdrTZD26o2URmOw366DPcCt6+YOv4Pkj
Ks7i5hYHd3I0Q3gASB2Hje9EVx4V9IoSZqFZ04lhkL2LMUIvyHavQM2Yi5HRI75udaSDZQaUOyhv
7eqUVkC1fGYYGPYbEqUkoWLIJKcFoZLxwqwDa91a0+XPL8T7Wyyt6HxiTBZNPKsMF9vM+xND7FTa
FC0Xgi0GFIRgE5fnMJlZYp/9/EDfOcvvLwGLMPZdDIg4kDW3129vLg4p9ya1cLi2YhefdPIKRzXh
eiMHB5xMLmQT3sdDf2NXeNbVeE3izRcfvBKTNf+xBnKXO80LaqpFrs8OOPY3bQ3rK93+/HXOBoF3
DwJ3XuK/eZ0fmnMdfVZglnA8oDmcRqPfNIkbL/U4e/B5QKORBaoUll20CLUQz/+Qn9XkAC9lWT0E
KEeWRF2hALcbbT2g+d4xaerO8MxBaTP7ZOfk0t8GlbBBdNbJneptsuKr9hxCYrewS4XRr0VgpJkl
zCKUYkuob2xRUJgt/GrWp/U443DewTA1W8VQs7gf2vjJD0uT71E/Po6OusMhLFa4hbpvGTsApuIB
xmJVBcdcFNMGAejdz8/ZHz9EVDsOihkmJPz3o5IkaT3KDSv3VoHjn7eAdBy4ZJGFvas0Nz8/1HfX
z4eP0VxzYKZnfmMwRXn/MRpivVKNVXirzpysg1LT/RSV1rGsx+Au7MFgpxXK4Hw8a4JvgYttu8CN
iJCNB2zfFngdRoJNrdipL8m5+MWLm4/94bUhmviOGoc1inXw/WtL487IHAnOI85gYwUb6BHHqfr8
izPwsVLhAypxfpi6yzGYSH04A7WZBKoTKY4Lkm3kME/+IfKvSETZTlE4DxXUdR+U5VNaOZ/jfrxy
wOawB6PDsUFiVNOMQa+jfO02wyUbnvBEWDXMQt+1f1FQ/NkrFSDiZ68MQifvw82lZeRN9CCGBSkK
7ioRS9oYeTbg6UXA/oeoO3eD6foozfYXN/xZi/HuSriSKgYIu+vwVGbi+/5KdGhkpgK87Sor3Tu/
d7nFMML1ACvk5jWRnMSHVr84pPFnxwSkxrCIsDNucB+ui5eN2EkTx1t5lb+lnyeUJiqHQ8m8cQVq
8lRk6jlMus9VaBM/LJ7MyQyXvvYVAUOwDLWiOJdDTlKbtTcKl6nT7c8/N/Yf6hTiR6nvKHDR9JB0
Ob/+N9XdoFUGAr1WWzXw2dg0bH3H3/gxXxcic1EVJ1N6tPkQ9YP5LXZIt5/EYwOKaNMK/0tdTai5
hE06V/ctDsNNNoD5wlIBUyi67EWyRZ3Do4poJ3yUz4Ln7dolI7BjobJHNLmd4MkeYjJ8ARE2K8Jd
qk3iNK9jpt+q0f5iNMGKrcmmQ49rB36/7mZA6s/PgPu+LeNhN6vCdMulyOW7432sb/MoYhJKOtmq
6dxbM3Ou2DnsgGdrEA2HdJl6bb1unPCsHAIoqNA60sKZM3rSZo3Z47qt+2smNDwMMBszX7GXg1nz
gHexWWb6g1uRspt5LGENqz4FTdvOSlcmWD1RiT1sYlIXTyB/+hX7EbT6BalqgbzpLO+LYUZnBkYh
0gP3NeGtXQynrCdVGVLI9IInv1wpszqvVbTqeKGw9S/SdDgNcXxKyC8l+td56tp2pVlWAOCr37at
OCu0ZFvRg6wHL3FxUwM3sXOW84NVrQuNhG69J3+qzYbVaCTDJoRJjmEHJ7duHEynfO7r4KJIH1zc
HVH7+otL8fH7KfHm0qS7tHazeubDnUEJAJtuZVGPmQC4d46764pdhQmo+K30+3+9HvlPMjXaNBlv
TvcfXI0XLxEDlLezE9YX84/8mJ1I9xMDDkphvAm/T0h+zE6k8Qk/o24DpkUUym6Cy/K7r9H8hObt
uyQNsePclv9zdmK4nyS9IhMXz5hd185fmp3wRfzw2SDzBlGOxQRXkl3BHfX9fSrqRCXtgmCnMi2Y
JgLswKmNtEQnqrUO12yyvY0qDX/tZUR6rM0080+GyNMND5vqmMQomf2B9IlVZ0Wg+gCgqoVptq4i
lZVt9BZPLoWjEUEB9BATr4O2lQZz+h4xsTdWD1PkpHzdinRPRFW4y/BJ7VTWteuuUXCoUDhcRKiu
WsT6beetHMtmhQKCEiQ6jklw3qZd1/nelKl9jOiSGdyWwE58XHJnfVyT/Kkn3PJpUwft1W9UnS1k
b3hfI6+W7HF6eVY4cXQoFA4J0JZTcZKOJe4bXZqwnPWQELOkxKoFm7HukNFYChNMnMd3pCB86Sc9
Oovq6Bb007R0gqzbk5lRPwkxhUfbZPLq1624EZOdnulRbG4HbJNrfONEbo45oI5R0+jqdXbGdQrH
MZ/WHqcOE0UcLrWKpEssi/11jQidWb48k8WQHs2gjWiIkhecM84CEGV07Usnxm1fpmvH7cZHWFWC
CPkJoM+ka2C6ID0j14oZNB1I84sncLgWAIFGEeIK7d+RR60lQRPlP/41EkkNo1qUA+zVRYaQ6bMR
TPqlGJvh2uuAme4l2R2wAuOgukisAZwtxurmqSDRvdr30FmOImDLvtAZzF0UMsPpQ/IBKKCsRm11
7OlGrdmFyHxbc22srcg/vMuGjANrCVWEiOecVI5DM7Cz90uG9fSqkkiDgHT1aEOxzxO+n1k3XmOe
R+wtHknnNjd+0+fbPMZ2wFvq0usq8OTnEs/p2mnlADIw6y5aEDZcSgbzI/QvicrE7OvuBixgGENi
ssx75fTiriiNmhCUvjau5gyTC2EyeiFWzS8IK3XTXebZQKx7aLH3LZa5r6xN4qsmCq21pYUBKa/R
OAannrfUbVRKKp9Do0l8hBDRNSpTuWOOru9EEgybDJRXuvST+Y5cujP6KW151N+YdcSgsu/QEIR3
ZLIMyyIZu3PVco6Nxo2/DG6lLp0CoJJjsxWUdX7RDsa5NY6kB6phYieVWmcxDIiNQLK1rIndPSNl
2sq2KfIavtUY+rZ9DYSchYqG3q6EPAFwlLXXBMdqcFY2a7RXN/a/tHDOTsRe5md95Q37oMTagtrc
rXaKzRPruaE45FMjSV8wDf8ibtCTLMAq5EcVwSvcmL0RIY7RI/cKFlBzB5YybJckPbtnjWfUD4Np
A9Y2aiABaAgLcSSWXQ37XpqN2sM3FhESGEuOj7bORbppJFqXxsmLl9Tr4TwvjUqI8iT57OPoMtiy
GfdEiQ/DPoxdx8BT0BE0TGoAHGZL+L73HR0Zo1qyIi5FAVyiV67MDpHGr1/qRjd+Ztlm4Ftqs3vD
HP4ve2e2HLeSZdlfyR9AGuCYHzsQE4PBmZIovcAUIol5dAAO4Ot7gdK9l6RUkmVZv7RZvpRVVaaI
iADgfvycvde2ikNcJc2OOcYCMmL+kW4xjUAdZImG2+jaff4pSUa16/1WYz5sOR/7xldHw+zkpab0
Ei8V+m/Mmg4TFFL69EfXpYMm0VBdII5ichNr4XbAdOmg3ZnNq8oYp1MpQ+Nz3lKEuG1n70feIlbY
Otp6aVffq0QYEtXebE9jgDuveoyGrrqZLSd8SjVSETKXeqZV44CLRecPG7jeoEiZszXuIFba8j6B
DeYxf5ReFHSwvcfbSTbuwGFFgpmjZpgt2PGw/JaoA7VJwJni8xIjp66ip0FzURZuLc4KpoTFxhaJ
Am+eRfN92lsCTg/2HppMNCBjyuCF5SPsMhoCT/rZxWhXGttLZG5ruDQltRfHSYEtbTf51RzoPqYF
WPpXOSzGY+sxrdSsceSwbkUzsdQ8gIWS9aF30lmCzIZDNI1jcRHhc/xgJ0107F6ARchF6y99y9cJ
2oxXYiXVWONX7XGIR7Db5y393WUA+cJByl6YSAT0TN90q6HnOWSTf4obDdh3nSYMEUjTmE0wknrp
7xx3kV/qxQREFcyQBe4irvJb6brkJhY5kJ/z0DHjZO30xCaygxHwcIU7sD1X5IzQpaRMP1O1sNQF
5Hm1N22HtwAv33mFPmuvcPPS1krHMUgJc6GCjLtbd+wJ8chb/WvTzbcWfK9lAh72d/qYWUD9NfJ6
aYe1LtrOcnDlSsyZ87WNJj1fZ/XofGp7u/cD0KVptM+6eYg3fePMDmy+JQVex/oW6JOanpjq6x9Q
Mam7zo+6bF0NU3fnmLp/3vAOr0ZNWLeGbKxP2CgLHFWldZA2/lM7bRen3HQx+zm0596J1cqzs+MM
EU50vLAvVNHHIq/wl+IuIAxDzNKxL5O4kFpQcCtx5sHTnQhrB4W2s3LLfKZwmvotJPRiujEjPf5g
x+aw/HXdO8+Mwol2iVmZH9IxZb2j5dTVhwaKY7tpGahfaW6fh4DDhP+pzv1ibxBOXK0APNIysoln
hmKnhZALnZh6bYU+NbPXMpPcaPwSaXElyRHpNt4g888EO+hXbcrEk8EyRhd6jFNJDeGPzFbdvP/c
FMBPejFr6yoKZ8RRkS3v5GxpX9HK4Oy3e+miEojIftd1ECUQvIHgBiJfQrqZBR/CGGDv3iFldCQX
oZdPMo91EwyBihixcuR099XUYU1sezBNAZNWeOixHrNgE4KuSfTLhbpwR73GQ192jiIV3KgfMfHY
WcD5C+Nk3MBttlTzzaMxsK/BqHzrrWFOyAgICX3thGbLgJ1p3uBLIY0kTfXoMxTA9mhDQPoEVmgu
wdzBjBuM6oOnOPigQE8iYwNK0z4vWplu0mJIe5Qs5SNTh5CtLGwfZtjBZy2pcLxY6CQux6xmTo2Y
rFuFVQY5ksCTFM2pl5GwlPXNdZrMM6982HG+z00yXwhNb/rPSU94Ll0NzjuoboR6mOJC5CtUPmm0
0VB4nmuWF33oEdc+oa0yC5QOKq82VV/NRpDMi7V5CWwG89/WpE2JXopVI63F3W+CjSNUvED12Icf
h6YtmXjH7a51OrGqm7xGlI0KgBT4HQXpPtMzB7JHSpY8hl4SmHTSgEh4ZTBhegqYelFaaD9dlsCk
yOQnlfhwfjF3Bez7rCcZT+Uh8sxw30V5fayGSN03IczBvCOYGhvE+Bk6Rg4At9WbU9QWXhLMcWx+
G4uFijxs4C3Pn5lmPg1J2IKfI2hYhogFVt7kzNANJ89e+QieKhJRaJqsMjiduwkpz4SzoNUfDIvd
6FPcVHBu59G0r80BAROmrrTdmG2eN3usZbAIlM+hmIW2zE51ZDOpmlkg1nRUYQA4XqwNgVP59Z48
HwyK7AFnJMPWt5WfqI9oMxc+VS7UTuJz7cEznwMYirVV06XxtNdk4Y2YL0sExyTEk/qa5UwC7YYP
bbpZcWJ+1T4IegBkRA+Z9tQSjUXVKRz+9ui1N6xAusAabNZAcqGlXuu18okagHKxxh3hXwMfaO9o
yqNoDB3QxisFl/OLk7jEaciasJA1BRqefW+sv/WRy9vhdgARznnxKAwTsK9ffaeX99gvzCOzJHFd
jIb8gPgNqbFZ9xWbXeRM7LPRRB52ovk7S1TjnqdH0b2J9f7R6iY/2Vdz4qM0c8HV6RXxFAyllYcy
czLLYZ3KTlsJXcT7nCytaKVJN3pggu6gtVTYScHAcAO7yuzAapea8dX3ZH8wHAVwWBRVvpq8pQQb
uoh6oJgFAVZkqmPwgFyFInSSxylkzA3rYKo1cEmh7u/i0iqeWCTSr6lS7kXu6SmAhbEpN/xmehWQ
zoUAuDPIHBxxwGI1DauPEj7vOS+rFSSJ0mBpmsbBMJNx5ZkZ0YjYvYELk54Tu3hm1rjJyAQwnNSM
g2iecA0T6vUY+TWvdov+7TSSNHhsa/JXV27ijQVDiNY4IbnC5KHHEShzcLT1xLlRWYSTVmI8b4kP
WTVzhrPdjPMrM53L68p1CKEatMgJUOewsNQVmmKmAYHNIvnVz3VAMV5vf0H2Np/GvGHAVAP2WGQ7
6akWFdEAYx7d9QQgP5D8q9/h2uT857KHXA51HaqdIKm+A6gjuizgxdLFttOxb2P+aM8Fr8VmLFTn
kci0Vx5FQVneTdixSY/je9+gYvCgmtT45XvXd8+nqMyLoB/JJZOxGe/HmeJi3Tr5HIOblPGjY9YU
i1VIqpXtFrvFxR5tbZw6RHz5/bVjQJTPuQH3PviVO9aL5hiZfA0qI4Y9Q0Y4QqfYcCfSW++FQsHH
DQ05fn12U1bb0beiu6aa/9Ayfz+fQCai00eg0/SivXzpjL7qfKJaBIpWYIZC8GWy97vM7cfK0c4R
8UOGxK5cPr5quFx/7zS/thC/HyIxVEMEQpfxBdLkLI2U171Wz+RWmkRW7rLWSG8wc3SXVrx4YkrD
PSRMInfg1eM/aBjeN6CXrwn0jvYmmldhmO+a3iIxqjl0s3Gn4ig/Utd013RS6XnraXwPXLbfcgh0
zqRSzfd23v/rJttF8q2tZPXcvUeH/f+qZRKoj2hf/c9apuv+kab+U9tOb9px3//Zj3Ycjj8Askvj
zWblR5n0t4PQJs3ZXMYXP9TK/Cd/SZmwHVqCgRu2WeKJxeIE/iFWNnSSo/G/+uAPGQ4hhP5PpEzL
g/p6kOKw8nu0C9mSrKVz/u6Z+kcLh+focwhzWHqUCNhTAf8v0Oys6ccttMRjXZrfXv1Sv3iHfnpr
31363SBWAPfNMl2CsQL2RYqYzJDlzvs6C0+qAXX1+6v9hI1cBmoG0nDTRrdjiZcE3FeLRBoOKbqH
cmJGlVkYDMIu8GkOrUdPZNtJ1g86jKMdd7rZkAThbXx3QM5a6/Z6cPqHBWu9suboY1pk14gSL4BM
BWaf26tODz81TUhAXdOBSKnSc8OEXf/7T4/47d2NcgXDV8+zETEtKdXWuxVHtAUkq6GxIIR1DDVM
M5WriiYeW6u11FUz6DM2rPVMf+waBXpyZ4VkW46NziSVPVrvm4dspnORejoMa3I3TWtHG+AUEX9L
JE1CwAQdmVHx3xUFOstysW5AwN/BREXY4E3NWdQI/V6DSg3qIm/3FRCxaYiA/99MlR6kcbIZ7PjW
gsAeTeokGVxkigDBvliP4dAFUZLd4GW8rfMJFcAjbFtsl+PqywhXZudOuAmpm92LqvUpyY06O4Pb
0Z+hvSiRjDhQLz2+zAgH22oNcydyEd07mX5TajkdRJ8rm82QH0U0Tl/ToiM62U/pOsQdG2Wajyur
KdmOmRu1a8voE4hFLlI9JKp73c3Y5VyOYzYC7YOFTfPoeewclp/KazWEFt4PWR46WXlfTF24GEWS
6srDLUd5uvSf6bN9oUXhb2wVi1Ntz8NT3Xc6ovdzJWJ1qfQZJJHuScLuzKza2o6YDyWMIOS/M6ru
0iCGza0fkyR9TKKKLEQO4lgJGwV9d+EG1S3N55iok/wzFpxDg8crGtAButwaW07t3pD8AxKMOcQX
YbpmO2wuOIBtxr66Jw2v/AOLQSxd+tcLB6UGbRTHRIZJOei+19MB/DKamjCMTZ/nxJSSJFaRgNJ0
cQanPqrpVNjmfZKI8TjHvfYlDok+ovZpaCclDS1v1/wwiiGYl5ad6nvvaSy96c7M9HwnbdIhHeyw
t7FZZZ8A9JDnMIb688s79d9N7Q/+eFPnlr1afn6aL90lWZa8wWb++Cc/NjTv3z5568ycvvveF4HC
j/mSB1FTR25kIFzwXnlvhIecl/8HFEqWr2Ub/Hs7E+6/mRIKJlWok5B8sD3+ZTz6sYfgWaJ+iJ6q
X+wp76CyCOBATbDPGpRIFkokexk+vVrlQxPkoiqF2Fu0Nw9zq7IgqghQwtN9cEeF84NB9xq6SbVR
dTR+SFRGzp9R0ivTu3ht+LhyCxB539JYGmuY8O5tibPirNLq7gIrdfyHbeltTffz532//2qT0yXe
ZOxxt6g9aHG6fgRdonAJ13qto2zBcnjBYTP8gw6KIeybN/jnS7/bf2vHKuq2Nqc9OR9YTZAZXdKu
9LZzM1ZkdGvVmn6aBuOcARbA+KsR7wnhNX6x9l2ffaS22/00lyT3aKpYVUvQDPO7K+LXWbRrfj3H
HJckowi0PhxP0nFogLWlvpcYpGtM9G2eLMg+vCtAhljg6twbHrJEm+b11KjmuooLcIKkGDBD1yPG
KS45zvmYEDInigORPdUFjcXkAoaS+hz3qlsbWl0dEyMXm6mYycKsOyKHvhHhq5+xSO0YOWiorsjd
ipShw32CF+UC0drlZk6ja4ySber239KWmHFmh6J/wD+ic2DVQAUCtaat3ySbNoZyWIn0AwCvq35S
N01at1Tda5VrD5Ys/fMuT4vDlPqfJKDqnY2/o50sfT3Fjjimc3RRFAVHRQ79a29K6Tr0C/IbGNTg
uV/hws3rQaFLEH56MAc8mWKYrjiV2lvZZN2mR0YZgK3qDjW2LHRfIUBrvLUVrb/t2Or0Q6p7+qCH
cJ5COP31ekB/KTQCVdIG/lporyKCVbdUQTC8okJuk1kMu4oA2o1QtDPKkXR2+jbVhi8WLyax7sxu
Hf2LigBTgvzr4sVrOhFBnNyo3jcPvDUrwr/Ow8mnSPLEsGXKd8/kcbghoK1DSE6yUu30WNBUvQdq
e8/piN5+S4u69bknxNDEV36PAnIgL/vox0uZw5xXek7I7M/Rd8SthGcWtp7AE1j1m4rGFyIbO8D/
vYgmzPleGxv8qHTjCAUKYE2ezWaLMT5OcvQNPM2jTYIRkvlq1XscUc0MNriKYjJC4M/tsDidLLe8
77KOxDBimZrGg6YAok7319IhHAaff722FVFVzDb3pCCpIIOmFZQuU8QcfhMZA/VakaXWD769x5rn
kiSGfcv+WJYSpJk5eXQqcHYT/ZeuNWz+QZinVDQNVZzrpbsmV7dQ8fVzLcLYSgKQWo85A46q7ji7
V3V2x2BEW0+uuxuVdYd9d1yT70sLe4pps/XppUPk6gquh1h3QIuDLtVRf2hipyls2EIDjO1gVRYj
XAOgZJGdnTWFd5t4qLCbabzvxoRBWBJ0XXw5NEa9J8FirZjOjPLjnDdXbsP4x9X72ziuvQ8CAtMW
mdym1PuvGTYueJDtRZuJ9VSUQArbjRj9bRMX37DKbroZERsYxyFoBGhzjHWX/uTEOwMSRpI2N4ny
DxgCrkY3OqREwV4UToNnKgS6to1CwgNXFeGuJ9oAoIEo5e5GSb+eKvBWkzrC2gRlMyD18dtABcgU
u3VISx1N/2uc0ybS+VpnGHXxDudwEJmk9kwxiPncEkWA8j/u0VEybty3NVQkkQk0Q8iiievJ7Bsv
FOEqH/CuL+rEfc6kb4FukAFo6R+YEJO84zfqfNJVf98SF7WdscHTntN0juqGpLfmJgRwl65+NOiS
nxGx2942YdFfq96s90kloDYTgbHHRBYHw0zXqmPecoRUcFVP06EV5gQ3ObufyrQ7ZJAheQStj7ik
kEvULvFYU0QsnODYgbC0vRSN12O9DuM1QVUZ0mLK+TSjnEd3nJxF7kh/XSPohRD4ZOPqQ8hiJ23C
mLSDG86sd7TZitmDfU96Ke1Mh+wAhTJXM6pnNyr3Ok7iHRxnEWikCu+ln3w2NUIIrSS8cQHaBkYc
alv894oconggWS01zgqanpdz+yd5PsXGqzr0ZRfjVCRsA0APx1d3UcW92vANzQLmmEljX/nVTZUU
zr5IF/ZpbJ+/qoF+VVq81df9fKV3pQUWgDJm9G7uh6gHMhD6T8Ysh1WuiyooM+fkCCYko42P319W
3poo4T80gMy3Rff3j0CvAPHh4o7y38O0vKpUaSlnY89qRYwrYw6NQ6hkFg9Gda21iP/Jq8zuOmiH
e+LFmkvoZeOKbF79XE/D5pyeEQcJWT04CARvOJ35xCy1i14TNMmlDbwNhqeerGFbRnsyjMq9GEe5
wajEIljqh7bRvb1bR88AC1CScSAKira44XNo6GwWS/ffvZRf/OS/urevv+67M29q5fBMMtvYMxwK
b2U7miQiQJaBGzAHv7/U22bEj1/WXaRP/A+UU8t//voxUlpYdDg+90nvPpM0iOnZtr4wTynXrV0/
/P5iP/nHuIO08P652tJefHU1LQnxmVap2NvJQOSPbX4yi7g/S1X0aCQtmAkn6677mNgArxPEJmsj
ApQM7Q0hud2Fn8KM4U6uJa8h5Olxm8q+O/ThAkYAkLxOEm5hZit9HXepvRZTVV7TI2SUnJHTm48G
f43oUEij2nFcipJmKU8s6pTff8+3XdKXH5WKnxkHpm+Pr7s8zq++ZlYokmPYR/ZOY0cBaXEEhpki
o3RztGtkNAzQ+gbY5++vavziRX1z2Xc1tegqFrcKYAMU70WmYj+6mcHO3IbZilhbjVzv8TKEzXHN
cKPauIpZ8//iI7Ao4YQEUwDXbyn7X33znBw/WReJsTcTzP6SLTGx5QWeRea+na2t8tq5sj2detN0
vrDqN9vff4BfPM7+6+u/e3N65UtgQxER33n/xZTJeNmVoXkoGocHW4v+0AxYTgr/9AK+32fH023u
sQFO8z2YMVZIbrrK0/e2KdOjoeAJJRL0we+/0y9WA37Pf67y7jtJUzcHQo+sfYHqaKX4givJpLMr
8Ov951davoouPJvT6k+LQe335Tw7xBGFSq2UZ3zKHTJsDe0P3+iXT+rrC71bBzh/AAgGvM9uUrtP
iequUuFaO7/3QuR6vXmXRR0Yf+IA4qtmKZRF3dV/MO784shs6bpLQ9TT6TFydn/7rIbxqBpyMs19
TzA2CUztcI9AxDhDXWTua3P8UNU+gV9DRJAoEDYiFuMmcBug7G6hfdUYaDKz11gxqS6IbImKT05r
5tdGIj6mLbyK398b8+eHjSnqErNBU4JPjBr1zavFlC8Li7nlo+GwKicbqkxMMDOcIz1wtPli9J1x
U/c6QjGkhpFCZMghVNsSdE35bpcwv0DsrNuhPKNMDTdpZeAi4EwjNWOiH9k817WKzvRmYU+Z1rnh
Dg35SS7Hs8lbAoKTblPPxGARWNHg7H9C+w8gQDUFhtHBOkopb1++8n8bVX9oVLngUGkmvXo+fmpV
7SpKin8oMX//i79d5MAXbR5pVmIHfznPyvdOFfBGB+GuwF/zV9fp79GLjdwZabRv0HJ3Tfgtf/eq
jIUug9lFR9L+YnP/j3pVb9doTLB8MJpl7A42CBsYwW8fZOEyX7FzpTYAiCsa7/GMW6MDfWcQ0qYV
6fidB/o/9sberp9/XY8L2gyj+D3evTh5ZJLvBxkaGyD0XLyAzwO8Op5cevCv7sEv6jZq0Tc7wsu1
2L4W9iW1qmvr7/a/3sHdZcZAwhja0oErbLte1g3jLBWivsjCaLjoZ4JsctGV66hp/Ucnr4ZrWRKt
jdQVgQfYaeOALAzZQLbAK3GQRu0nC4kbm4uHeMtxIgO+jZCkmcx2GEjDRXCYjl6M9HrOR3elzOpJ
Q5aNWCQz7guPwM+t6VIgn3dWq18nOYirQCZziHrNtZ46J67oOKh0kQvm/XNP4M4TQlDSm0taNVWY
z9cwrhyTdtUU7ZqhJ7e374ab1Jm18wYS2bBvLFJ90eT5fJTeDcNPLGHIngVdR1bPKHejVeRNLjLk
SHN3NR0KEhjzVGsC8kI4tkIIERUZ4kP7XHBEO7jSOXMjngcDvfFGc8tjOTn3OMlZyzLsV4c50ubz
BJHjNalZFHPkVlihTiB1Uj9oBemtLKE3qTWjU7bdI7acFsqMAABYU2aavtYeJ8rMQO/7ASYRuqLc
AGC51hyizGFCZhuDSOiDNskHcJQIIEcrozmXVCvqf047g0thkabbXPpBHBPWZRpjB4rR39DXn3ZZ
JBY2yUoK7XZqhjWnOMkEBhUwzWKLIYV/Jho6AhkKhSBs23SFgOa5TBOfpljK/4KeALN1tZd55wdD
7pakF0rCkS0uLpyC2Zan04MCadZXLa9OGX0lj/SiKEEOCic6KVIeVoYkKsgqtR0tgpsqa2Fu8otm
5oIituI7QhiiQB/Fo91jNMjcs6ZKsQYZxU6vaZSgyKjJWjNvQjNDEl0Yj6lTbBlUNCgHux3D92dd
gFTKUJuhVXsmk/GS6dwzvKJj0UWHqM4MstyXvSJu7iIkqZxmkEoN53GY7TpK8BhE2QYoCc8dw0jE
MiEmhGNqWhTwKdCmq6ZDq6hVDyVx94GCyrcyVX6u++OT05PAmY2ts82KRRQ2omoCs0p0JzKMTW8i
Npq9ElGhD96nt7xLMcXRpRmOpziUn8ZIOGholeTHyJLACbX70IyOJDTrAbTtkM6uDAPh4jnMoMyP
TkQQZ1btnFY8ZMgy45BgDQy1QC0V3Bfb2gFw6FDT0RVD5IzftUITqnNpRwntDCPysG6lrQJu7E1c
TH4QVoo9N8/lim6IyQhVzPedxqk6lO690vmmpVsch5L7YOn1ialT9b0G++/m+sfN1YDQx97294H8
p831/5SPX4uv5b++lo//ugT+ePra/utM5vyf8u2m++Mvfd90ffPfOITZYNjS4IcQ1PjXpuujhMB6
DYfDZ2IICpwd7y+9A/uxa1N+LvACl3RKNq8fegeUEDaTRiD2DL5Bo+MnejcQ+u2A6O2Z1MUTZaCi
0dF1sCDbHn/tTfkoZSPxr4ztLlaQvFK7OJW1B6nNZWWKw7beUkg+U3TXWEqzE3BC2jmwWIOGtMwp
qYjC8Uq5DkeYbKFKPg4Vr+2rH/kXu+e7U8HLR8S3pS9lAb8I9cbbj0jPn8ohi9qdV4AVIJFabCi5
kYDH/nEAcmSZ46Uj+7WM8MRkDq/X/+oD4PQW/FQuMqe3H4Ao1NpTFjnRL7hdcx6HYHHQgJ0NN/HC
SezDkC63T88hJj2FHGr5h4/wrlZZ7pIHdUM3LNQauve+VpFWQiRpkTe7to+AQxnufR+zBjZ/GmO/
G4J9/63xEXOZhdoHkeTtV3XmUHYTnKhdWeGH6VC5bd2ufqiawt+C+02CCX4f/RjGgoNSBBaHOrG0
o7ixGRoeC7TLGHDM8KtMbbVpR6Hfmhkb2vJe7Hx7bM/6kkC2lsywjVaznGWZ5dLKrYk/77Gc0Uqj
6uvFdaOBXIlDfsipcT7D6jjTW8mulTQgP0t2Oxq7E5PxOb6Ywg+zsnhaC8AooOy31qjGy1Fmz4Y5
Zxs55KdSK7w1/h/QnP4To5Bbc3Y//f4heTu4XH44XgkdtbbBoJWO2XIHX3U43LnU8yhp6p1tohZM
xulzilQTy0UHP1vAGYwZ7rjN4P+hs/GeHcOFwbBTzaMQwIvNMvL2wkXtu7Wkyb7zCCPbeMzazlxv
7vYUlmJNjStRf85DQDmALHzihS5RAAeuV3JDiQnf5HG0BUjqw2TinQL4nq39kMli1ahpl6fIgpbZ
d0abBBTy73+z96KJ5bM7DMZJVQVtRQPwXQmu9741TAQd7yBRlutGs+3z6KVqGmAoq77aZG6X77qw
Ky4pPc4G0zhb5tNwu5cN0jn7vgBZI3GHR4fE5xVqXCjSGl+aMAoK3ZzoZWZh337/uX++1wCTMPQy
uCfg0lqspq/vdQfzV28HPrYinA93DasSBIPs+w/dOrUPnJv6TLNy8R91lpanjCsvCZy6Yxu6/Z4Q
1YsiZMLY5rtwkDX6eEI+/AT09u+/39uWwverLPwCinG+HAvO2+9X5nVhak2e7+LJLXcudoEDEMrT
7y/ivchQ/2mTfb8MkCuBbM+gJSje3X0Yn66L1ztneJw/h27YQkiQFE9RaUrYt7zkvqbYWwYI7KUx
0ye182cjsuYbQuI3dtnH7DsUTYYFlq+gjQiHPdL3ueQhz1IlsLtpSUCE1L3mANaF13Up8Eqe4ZEC
+EJk82qA1r3VTAXhnbHFBkbiTgdQHtjGKIKk8bUNpNAUY45tHDndoRXvwbv7If/eajwPWS9nRegj
3qoZYcG/HFyJgfK3Za8RVOfDaRRCfhxhltGqYupEFumpmJOTnZo3RT2Hh7CGm2NRHgP7pqwnDgS2
WbnXRp/8Q7Bt27xKntuIupLwOxMfBCV/BjNy5Rk832UkkVvX+ckZeAatLPqAmmPeDrl/D0aNJ7DL
+Nwmlj8fPTSsxI0pugcU1GRbLas3OcPyUz1Sf1taS+zcWIogs7hY7qfWV0OfWJaFy5iSclZGoC/N
poEK7OTgFoX9pWxFGuAJBTFBe3mFVYSNeHYIgMzTZyPmSw9R560LnL8rXMe3oDyenIzdUzHUjpRi
LO2xcKu+lpuMDWSdkiPAAEV7cEFMr62w9QM/NiFu4s4IekvGW9aycpfZyQl9R7nCn0DmpGQHzieG
gIVVHO28vksN/76RZKoyV+zWWejFO4ofk41lsILc5NaUsr11EkIwi7q/osDYhW55anWJbqGHRKO5
IBD8kTZEMbFYtk3qBF7ubJsmfyYkTiD7GM6bboC5nT1zCvN3DF/lOrL4olIVZPKZF6HJE0i0pLdG
iHmZhRXHMQyxHC04Mooe6V5Y85yjLdc2U0V9hXWmDqYhe+YszBPLnQUo/2wbFf+R3tgfhww9Yhlx
EBVWIZEQRs/VIs8pMQivYKZ5ay2ujqPLCS/msBXkc3EyqyK/6ungBITGeXeMh7dzGp8wkVX7eMIG
50B01jssNS3l6dFJOVW/3Bgqg0vpEHJA6DX8s+XZnRSPjU6o7EoCVl/VcXLyQmpGOzJvTC/3d92U
nzx9IMuVJ9xgSLN6eXDbmc8dluPWHa1yg1NsN8HErX0KmbjRs++vQMETBiLtRnatXNuLaw5xw3xR
jtysPlmqDY2/VxW1ufJiniDT4PZLndcF6wdyDtzoR6UzdTNUmAS1x0Nbdcnp5YPzcaliaGFv4RBP
O3q+KCAxgX2ix4AJt9NZr2sm87kb1xeV7zew6rl37oRPaG7cM8OB4GFDOFklHQCrdByOlQKPl2Zh
uh07ToJYn56x/bFgubQIZr4Hjy6ImuUGF7p9I/Lmoap5r5wxfW4cPnXYpKeX5aJ3s+dupI72IIau
ypTsrVRydO2WE37tEKrdGh3HecWPyGGAemimnqJKdlcDk0BGwekxJ9xtjTLZgyAPZdmZ6wdbVMeX
3cnXeYp17B5bMIDhQTjp86SH4bVIqy1kkgxnOiSsVpb11h4FjFD/scxZTEzBk1tSdK2YkX+QkvfY
0vi7w4JAdSp+kNHetW5+6qivluVsAnGxinPn8mVR6m2Wl7iTDzSg2Bh751JUjM2b3L7hvFPuEoNX
xfHSExGyNGVMWh05Jpbvp4l4KVicxMSdyrbjVO7lyzdUU/a8vBIE990sWwG5MjddzQd7uQe18C8T
kIZIHULEH+roRam9JFnw2JResQoF3LEKF5OeWsbRbulI1FHOKJdHpdV5GF9WOo+AETJFvftqsllR
6WSBHfLVlfSmbjNqvL8pbyYT/Jl/5ZEXnWcyPHTL3Rk1njxkn8c5KvW1nfIejvU8Hl5W4mRcCjEC
udYKfw1vMGXWNHtIUfH+kbFYOnwSb9zKpWPhSW4AoOJ6SwAj2HXw/JeVD8HVs2u2H8mKwDPMn1/2
FTPjQ8mleM4cm+5SuJnibNqZIaLhbOKHXJ6wcea/CTPrBmBNvR1mbpWqeOhan4WH4RuP6dJL8QZu
jelTUCx3F//ZA8E0hMrErPqcgspdE/EHm4FTwcv6my+rI3G5dNMywyRMssJDn8pus+xxyJZNZOw8
1XbPC+TO2dFx+NRicfClNWkUL+UwIQCwmVWbXWhhPn3Q8cHt3YK3G8ufucJTe3p5VsquOAGrfy7n
8T7U04kNo6WFNPBTL7sNRl02xo5XAN4D1maXvEIHKx5sB8w/VgdcB3N0D5qibLaA/7HlOW1yqRYu
LuIC6nPb3eJsxPgFEXvNdtJcsko254kVkxin6BlJu3BWoxmP696Y/W3WK29TVT70qwZ+YCXVpFZh
bCM4q+foFGMTbimnrWQ7GDXhNl4CFtXFxAoj47lqqoewLbvtyMnqm+Zn851JAOW5XuIKimoiYfHc
7zjnJARoGsYDo3MkicWEJ8w1k3VM7PnaNGd9H+XN1p45JsHrXEqDesDeacfutdEXxAzNk8BlimYu
W4JLvOUAl8XUyc3cXppGbG1da6St7EenXstBn7tCBsyTTDCqs9xmyLTP55bXqS5Z7JdjHo65bB2T
JQsLG/E2TqN472u4s4CI4E+jVRmoKqflaRV6AOuDRn4eWdQoCJ3jgl5wOfGLDaJ9SmcKtm6wa3AB
JfkoIeJEhn1nnd884BAGVtLX5PKZjroYTDIxM8+UO6gQKagoK+Ty8DrLjj+GeJ2/PZfA1A2j3+Ku
PtA7/xLlkXrKujbeg74I12oMYwTkzjd0KEwYpm89MZgoeFABLG7foPKGDNBcB21IgIBOszKhM6vT
ebMqoXOGI4hWJCYBnzSRTUnG3hBZWI2ca9j2AfNeykSicSNiWDZexD2N4gtUZucJWC4eQvXB0NUB
Z5m38hKAZL6vPdUOD5+rRIYujFCdrNe+2h2rbtoYZFjM1k2UpQJ7on5sNTNblxFLpp72ct0mhrZv
klhfy7HgrV1OPjNc6pU+sywlffJsjJW/jWPqJyNkpanKePpgdlaz3OE5UDk7kFU64bMC1hGQzpV/
LJveIpdYf3hxR2iGfChDWhxF1rTfotm3WN6Aqc2O2+2yiiI4Hpt5qzIqJp0zXIaASrBwLeu4pWXH
pQvcRCwOumF3G234v7ydR5fbSpqmfxH6wJvNLEiCJplM7zc4comABwIIuF/fD3iruqWUWjk9i1nU
OVWlqwsSjPjsa6pgh8Ivf2vp6AGAEg4srqlfU8iUunFrwSFd5WUCKrDg3FbLEaVh3tnD8DXoFe71
ZX8r8HsOowDeqVb2BE1SwfI5l5G3wfRh17oGbSHZeoV19ldliK+ZU73omaJGdvTbdh5T2Cn4UQ+i
HS/Oa6VEx3Gu9uIbXJnxFTbeaCCbrd478tjqpnxUWvaaktNi6BONOQUXgySooTGcndKBT+NTVa3a
oKO6XsLpjCnQKUPinDl8V28Hx39g5Py1nopLCozxZsZhkyrQOtWSukYzgksD0CZ9I5TizhygbYwI
pZuogZlsvzqkflhPSPcKrX1xo0ujfj07UZWUyeEymc9tThjUYG2vNL+iwOKdwmnmPaMN9lRZpURh
IRkeigZ72E5y3MxleJXEAP6yTECgJK5FaEGEWSPGK02zTMx/gyVIL5SXvseH1Wk7cH4DNaY59/Wu
THCarGS1z2Njh2tDe8B74L3UxHtMtpeSPNSWzhVi9/rmnNG7kSZsKXea5azGHJOryAbOG1MT0Fxj
r2RNWqjxgTF0IWeWU5UXq6VrQaF+XHkwhjcqli9VQerpBzVcxzVXCtwFP3bZlTvA1NHFxGRyFej5
eJ25XXbXqD5h0o4Dd8zyZ/QE1R0dfXjOcmAzysukZ8UC8tHfxH5gXCLkQ9Q3OcOjsOa3Al7/d5mM
mPyCB2QCggJqUCmMvzROU4BRwZd8aPm3yOJdn3X9axH15WVO1juffvrNsPMQNaJZfWcIwbfK3Tt/
THYuWr0lU3sY4mSutNZ+LIMqx54RcomD/uQ0/CJTtuTAZSmjKjghLTUUQSGub2VQLuaoQb0GfIG1
li6upoQwxjAyCwsPmnLmdBeaQkegr+vjZM5zaDc8fsqRF0khvoJLNq9z2SMKa7M51JCQ3AAAD7ac
dlKc4ifqS/v2nHsRVGg5SdHD3xt/50/jBWaMJogSD2GuRR395/FJn/ZeH6dTttNKmk4k8hCx77qX
Bpc+dBuLeTtrBjs2xa/czTke5mahCDX1k9M8+039oPsJPGRBo7uUGcrTtRBf24esj290c5zXkKa0
PehktA/QfUFEqL9xCw3lKL+jAO7ix/Mg89wjsQ//nnSFeHdHJDydzr3FhAMpOq0zcMmYxgu3HovL
UTMo6PqlKEWMa92xNKVfyoB7dg61FwJy/zRhCr7dnfK/p1okkd1vEPmIlypQLPtBet6NE/vRITOM
8X8/ImcjANgTJgnStlAhf32laZ6IIj5z61taDt8boouWfe3eNSm6gOw+JefAyxyfFS3XzRgoGv/+
s/5hKOYHLDOwcISDyTz3148A03CxrsjULvVamw3nLPatpE4SboO6spZKhJ57naVlYn0yrjorpH0Y
JNG+gytDjM3GAvLDo7nZ8NeyQO38BhcTh6C+wevPuEsG1FzsuUZ+BrRnGOkzoGknvan6or8PanOH
p5nx8vfXsIxbP3wWfgH0YS1chjneH+bAylR6Laoh29lLEFgGBnbHlUZ7tAulY98mMdH1749cvt6H
RzIfhQnJekI3/iG2/DR6tkool5Kh1A67RT/Mmwm2esx/M/LqYWxlz6JVGzblIHOoLX2x//vT/3Cb
2RPwAUAgnVdZv/7uBS/Vwlqyg2xOMZYx0Flj/NZ+csL/8FqZMiPoiVbeH9ZUZFMTlpOD5KuR2Gs1
A1GU6fjGIv6qDfLXqcNN6O/fy/jTF0Pcj4ML65jpvvnrF2tKFKhHhFV3cZK2R7C/wTYBKHEgJDDK
GfwHQfpcQYhltsdqvRjzadePRo2uSaPWeZ98n/+XwsPL+HfZI4KUWUCUvx0uxN5lEug1dyxL36ra
mX78U/xmKTUeaoCfOPOexYV/PVlIYnmoV8NWQ+TV+zAIVqanuVGZtTs/8a4kNNxNqTllWEV2gigo
Cdjo3S9gUB5rvTgg7vAoEwQ1+2Q44Xn6vfMHlOWcZP4EofdR3ZzX4KBE4QBY4uQZuMf++stYaIRM
MWaLuyLomdPkFM9uQ6hROqwIZZoHVTWXgiHZM54v9bat+Ik09GmQsaheDDkymKKOA3RqmhCUSzAV
rnU1GEDBuzT95rZ7p4MnMtuUIJ2HM4F1C/foXcVYvRWxSmEXx6HwmNR4sFjXCAFtQB3TbaP8gnhI
nq7tokthdCy9ta4jzBOVgOEi5F36ZZS1rO3OiS2ddXn4+6n9yIvm3SybZPx3UcmB9PdxnxsY/Yhq
ul7vYuTZAW03MUIqMbD8oWAu5jXolggrYXRQ2Kuu7/Xz12S0urbzpqIg9BjVRmS6GeXGi1pX2G6D
BQn7pW6eUe3YtkWMGQ0WtCskwcwVJh+fxbMzwvLXY+eBlkJYGLktltL6h2zGLIM4Lyk2KUrbVRr4
2oaZ2gD2Qb4oE4SjcItLRG9laKQeirx5spUD3MC/v8rfd64QNAOOF9ISAELtD6cM2oRV99hd7OpJ
XpgDL2ZBvSRl737yIPP3SLN4p/gBfA2Ap97HSMMWJGrMPKt3ESooaUrdY0zZIovWle/5DL7H85hK
Jct0uYG/vCqBra9MFSyuVBiBD7X4iuD31wR9n0uvoN/LaAHPIJxq6RlLmnfm25cQrhic5ozhNNxV
P9nl/elHY4HHAtTBdAY424c9ZEnnahqzqHeiLYwNYloJekJjvS5aqk5ob01oDer70i+dwTOqEe9T
4X8SsT5gCJfTDyyCfSJmGvbvaIbcRNqrNox6p9vVDwt10zWvgQlyDhhqmD57mvkB1nd+HDSbgL2v
BVPC/1B4WJWBa4Fr1uwvET3O6mraLGvJuTXjdWDEDgNcCmrYT6QINLGui7l6qcYqO7kFxb2tx19r
35iQnkMTuKfxRhANJUQbtSLocG1/Sq3hEzOb3/Oot0jJsyhGq2WBkfwaOqUzegVaavXO0yZAwm2N
iDImz7Ao6Z8YZYMg0/NPlpZ/KPh5GicChg4AZRg/vz40p3QYqsZE/yplsNkgA0kjPsL9rOwR1mTH
PDXGANvI1KFlPHUMLAaVy8yQebsWFmalb5KSEULEomjTZYjAcgCMC0Yrxrahmq0tWkwBqnFjOd2L
OVNvnWcipUHjZLJ+3nbeEs0Sh3ntsn6xTZWgzgmQraiQ/bFnQOYxLk1rYN+POaArXMJZ6tWG669m
lg5b4S3FfDQEO2fZUAL0vD0rQ5x3G1UOnZOd27elE3aTjseNOhuK6M3SUA6s63bYAp8v/1/CBoID
AHjYCSPi8aHUrH3k76VN2IinTtzALmEoQPuyNR3EehksV+RAmlzwjV8ZmzPNdvihy6HxN4My87B0
5XDhTcyIzrG+MAdWo1MCOdZu0WfsOvP1vNq0ayMA81NgTs66+0qk/Ah/j7S/F7BgY6kuQDPBMdA/
qtfL2GYFi87xDi/laaVGSEaFt1wJW/THWAbFOsDF79XGfnQDFjT7JGcuFlkfCmgUZTzHAvMC0Mb4
CKEI/DELhrGsdnrOFq0y5XhjZMz7/ZxJuNUE9hNOkAUODyI7KAip8BzJkKPGHBsnOvrGrGw2SveK
TTxzTMldbJQ8FkAuzsm6oS6yqXpBpDFZn/cPjDYMjTlfNKahiAQwyXrZBjgM2VOGkju9WGZ84zLO
nevkVjaD/aTnzqbWg0vZm8nKcWdnOy2YlyIO3vkPSw8sI3+AY853pQ/ABgM485N6+A+VBfqE8Hfw
NbDJyh9dPHt2dWU6iGrXsKQ4LwgKBHw3lsFGqE64hnOXo3SYoTunZ/pqRtptHSVPLA/qw3kNM+uA
amsZWGuy9W2+xLfGfcBzPmEvXr+WbPQ38cQuwkPQc/f3I/Z73PNNl4qCe6/Tpn5sEVWnYZ7N4GWH
NuHOiNgvLqEimxhHnqdReVR8EvV+K57xVSMOWDRlNpUMienXqAfRNZpkRifIaLteTXW38EVIx+dd
THv+eRVLoZ74ApID0Iha1oB9B8/agggTykZmoQOYZQVU47Pg8TFRnj8cel2os5ABPWf58596Rnfy
01TDpnuXiAYAt+QzIAfNFoB1Wb68lb+//j88brniIJUsg2bit7QDVw9ScpXtBmc5tWBYJ42Cym45
O/SOn1WQZ5mmnytIjxhHRAHRCZAN54Plxv/09YTs2TbKROyEEM5lkMBDEbb0NqMdbFk14Zs9ZFQk
yYKLRoPD2SeoY+4NQyuv7Mr2nge7CG5SnOhcS13jjDyGjdu5K3vom3Dgjm6YrrTH3K9LrO4md1V3
ZXJZWjifRn3BdnPGjBY1TobxvXSX3fUterjpIVUI21Rp22y0ysQhx/drlKwJc2utwvTMjh3MFizR
H8Zo2DKRbEIZNzbmGrF1AZZDY6OSXbf4bqCn51k7iPa8QwDlMKO1dBPhu31d0idvZ6QGNnnp+xsl
+ANhal+NBW1nDI26nSjUtkWOKI4n6NSiRR4go6JjIigZqyfsqTdlVlgXAFQdcGBZkG7coim3ZW0n
FyqV/QDSosyYkkUW6pCNj1gHn0GrI0yztfu6s69jkZgbnKfbow8HifHPbLxBwrN2yG47n1w062Oh
DpuSIgwdDfpCYHj+h3lisPAltJwsD4LC35/7HisHNVK2OpttaqnULPTrumlKDHoGG9/2CWmHevkB
Mb/dwINw2V8o6npPeukmycW33EwtDLIavHWDwWWk1NvhpEH+xryNRXgpyy1LBHu9TCW2vjVrD1M1
2JfB8q9Pq+66E+aD44E2GUYXJImjrFDJAvZw2vqfDJw+Ji9gf1wobjB1DIFG/3DUiZyGYzWZvxVy
3kkIAoyIPrm9H4Pn+REeCEMn0OEff2Sv0IU5DAJiH8BAWiNDzPi1l1gDZvUMGKTDXwMV/c+6oo9F
AQ8ldsIrYsK+hI0PESrWfDd1hfS2TeU1Icsvua5nvWHtBn/At1jpaehnHyqpR2u7y9pPxlrGx9oe
BbilQMbPkskqImkfKuUJbco+LSpvq9xaYy+ftvza1rxBiZcHRk5wqIPO3xHtHhg7ZLvcdvvHv0fN
MwLulzC2fAZG5GgL4esdLADxn8MY10Z6ptTcbepm+NhNTbsvbEvSiOvtvJJ9EmDso7dfRn2OrniR
9lU1gjotO9O/x5163ojeg2472OlWIWDworcmr7Jpqe5EvS2gut8NKJMiZ+LxdTrhXTaN7V569dA8
mTGoBNwajWQ3BN2N5cU1xHkt/6T4cky+wy/fkQIW4Sx4ZTD4sSn90OxPeNTYDSl0q7hVl4OFAY9e
x8Y66Kv+4vwlApjfN/oQe5et4A9YPEbrAGuFTW6AHZkpwTYWs4i1JaJ4H8TC33hVijM9eC4kLsz3
GizGXuvhGisfMZkktm4zs7DCWib9xTwLdCYaV4IAmBF3G72erTbCEQ7GN4uJW5i73QzCp1p27KW2
LWpsLuWiGoOoyzaTTXs18je3tdsDsRDx3aQ5GtyRIb+Z5vpplqlFEFIXzgA/araxgYob0Z/MxOte
tOozIU7rt0zL62QID6bSYxQML+/XI1MHQZTM9E1bZNiZnShNrr20v0zi4R5n0Qh5BBtXyA6l98Sd
ILMw8VqnTu3vMzQTVuhKQ+Jiv4wqCNcsLTGuRkMGqXNIMKyXg/nIv8W97PGYYCNsl3sGSQqKjXB3
md5/m9M6ONLl6Wu9A7LndK29bcymBNRnyrXmVk8I6KptP2oPBQPpTTYj7vz3S/PR0A41U4OemxuL
NRkX+OwL+VPuT5NuchmnOFuUgtW1D0fhzRwHlmB8cGhxChE4VfndrhtGbWtpBQIycyOORtr5CE6h
eJuKCMftvCoek3iBdyRcuwypFJRgnVTbmkPNwXQRNpaA4za65Ixg0pqujcRPkUD2jXDC53achAGW
wL4feuvF1gy0gQPvPhLJd3odhbiTVMei07x9DGjjhICef9NRT4YixykBlw/a8VLUm2IYu53LbGBn
s/LbspjkoGMZE45Bbn0yw/nT2WFzYTP0Ju78VhROYyLYUXJ24JW/wzbwb5a7IuFUrbFO6j8Z43q/
ZS4UNh0LhBqTXKilH8HMhWJWpauOCAucaoPjZPACsEwca1Rj1/pcjFtLj9Ir4XbiaPqSgCcpv4yB
lz72DRW8P0RrtonPfRBdDrF7wlK93RqgfEYXO7q02jQT97pPgbzyz2J1784bLeBcypT0YQ7cZsr2
96pt5luzAsxnNAgVGlXV7qGKGWwOx/IybXU3zGIr3gog8Y9Dn8s7Fv7IMJuiv62TBL1CE5xGZhuM
uNy5CXEA6E+AuYIDG9lbzMTbfZBNRI45UKj4lN6lhF1xGnTCcltn2bZdPg4b03wpxPtHZ+JstT1p
RhM4u60d00u3VdMthgNaemXqFRL5CIe9WZGHYQAC8KhXikrbBrJg7IwF2RbdboKRZ7ihYBZEBcqF
mD+5aH84LRwSZjELHn3Jkr9GmtZ186yIQcX6EBWJIbw/iQbaeq7sauM5XIi/X+zfn8dWEUQ6JRaN
uvOxS3ezEmTwXDnbvCgoQGpuA7C54ADmyN+L2Wk+uQ3G74UlbdtZs4KGl2VesHyinyKJD7ytMePY
3oJjssJkAhlqwNO5TAoWUeWsiyMCzkkYty6GwUruZUu4cBHBCquCy+8NJauAwYvWI50zylwkKr3n
p8abUAJKMLpd3fBVEreSd0VLuHbKJbk7EXrZ+Kze4K/yBZ14A3lNCL2JyaFzjfwL+EUMblxQoWmV
aJuY2eQDahPtYXb9U96LbMuW4R3zBRTrBuc98/IvpuCza3o3bic/mo/MtczQUCODlUo+oD9HpNKI
/OfUWmeUWhJO6AuIMgvXKQD3BiBfMCLcpiAgSwqO4LESuX4cOrvbVe6STTGOWsc1dUmWkGdUoRDz
XO7qZBI/ZKEwU5mJb1nPOZ8bjngmZbsHWUzuyQi7bVY3T0mSIUpWkjNzyQeqPciWTFzmTaAJtgAT
4i7//GnOeUcSQtsi8kM3X4EM2ShzaNYj0ILVtGTdVJjtwU4yj8tCuEiMgXqgG2de4tgeRKf7J6Nh
ga9y/mfQxf6+9bihpeAfQfwWa+woQFSmAvwN5rvbybiVV4kBiqjsooq8wNfUHCO96rV53tS90YZq
qhbL4wgeLz42IWY//i6f3Ud38r4V4HXXWW6bB25nfwmnxgqJYJxiZ/J3fZNTsiSU0efrjtb9DBsC
DTFNIwtg0pCuRcH7F4HV0bTzc5xv1/833ufyoG8Vq5AkBtb7f86K12hULiTKX/5HWCKGNd2qH3K6
+9Fi/fBv8uLyT/7f/uG/JA4+oXQa6AnQFnJr/2dO5ymZK/nlF3HP//5r/0XgxH+VJIXUgfXf4p4L
e3PpPG0iA+5+XLL/Ym+a9n8gu8kqBGEEHQ73IgDzL/amafwHFb1LI0UY4++ipfLvF3DzT1X8V/bm
Us39XDzDBIVZhCoEigk0Zucm5qcIhQPCDPK26Pdlj50Kc8iaCUtT7GSKDxXh6JBE/SuKHiMoffXD
jNzoFDsgen96Zf/6WD+rv6O1+4fPYcJjcJZlMbvHD0W8FcRaZVQRMoBZm2PoZGxtK4M6unYVqelo
N/vGvYmAMatkYRI4OF6bcXRKxYitnLQeVAPdwNzPyOolV5ZeHq2U1VHidw6jQebVrnesjTpeDdTY
ttPdTmpiiofQlwOIcqOrxwGhnQnK4RiV+J60N2OGy3cG3AdrCCw5sCYrnu0ivtbSuoDlmj2oxML8
0oq/2F5WbYABLj71/ViDlZd1OPKgjfIZFKyq5KVt6wdrotiPJjg+1g1qQgvtKxMrXmxrWd2LcIcM
WZpZ32KmvKpGKuSyMLYO1gmTeaq0aus2FmyXZy2b79DVvodBeQGjZs/W5KIUJVwC7Ci85n4cnVc4
fN5qGrMr+lO1suPeWY925e8tJ3lmDn8l/fnCHZ0flUj2vv6G3N+jF/P4zjtJR965kbFD8yk0Rm0z
mGazwucjXgM8W08qCxeSBuZs35PGcvdqxlgKrbZ3M5ijQ+uY4lDMVrFvcH7ZjN587IzhpPmMo0Gj
5avBMNfW5N4XeXyQ+l1bemvmMVgv28N9M8Y35O0ta9qUtxVkwDmnEHBj5w4XTWo9FgCEVrpmE9Xu
m3J87wv/MLb66wxaaGK0vRJD/YI8zRZ336PZWA7TBvxFowokXfDI8VplDhwuy2bixaQdvFY46f1V
rEUvUT0fe9e6o4ulY/XUo2GRNYzvVVFctXp/VP1IIsY2sBpn3Eo7h47MLNdZlG+CsXtLrW5t2jR5
+oj9J0ezEe4jfbW+gtz6vVpMACdRbKoWNz4TsFmRdt/0DpG4SEdBCz3CzsVc2BjWTo+ld2E82MWz
J+V8nTL9fe7n4thm9m009v3OnwYkPtEMPdimu2GVcYQ8tHGbco9Q9Iuroh+ZVp2m+bp2Hlu7YA+F
exzUMf3WXAQEtGE+1HH6bBvlsFc99u3gQvFAuOzHZgP+a9s71rU93Uq/PrGNw7FGIEdrT9WlHVDT
KiPe4AZ10+F5FsZpt6d9BAXQ4VuUlE6298VNHxtYsxVrGRzaEuVCqLkrwsFNsvDg4mh8rqGW4mf1
NZqTMB1KLH80Q54aPOS4OdlidGiFExqnrQ/LLfe3TXZDv7YeauMWmdeNUdlb/NKedL/Y9+idyQ5z
KpZjOBoxVdHyHUfD2+hA/g5WpWyKW11hHeReVcq4EKbHfHN+THrT2TTKe03gxa6zxIHy4kBms5hy
jNdg2HcAOdfl7HtH1GxD+u1vbm/fGFG6XCfzOtBxrWw65zoJ4gO7n7cyaw6Jcr5XGYosNANMWCEI
mFWxxQZn75T6sLjVU4R7LDyAoN8tOXA9R/p1DBYwLI0biWy53uq8eYAgsa4d/Do5FUk5bFyIYGw9
+q09gSvXXOcGF8NbRE5QHivrh8Qvd72I8HFxBAJebf0VJ6sNRkZPBdrHLv/HxkwzBEXAp2LyR9Ul
H71ZXgN9fVVTUe+FoQR1kv80D9O9NwwxriLwH7oj5lervpAPuhZcz1bz2uXOm9mZW1VFl/qETdaU
PWcTriZdzfcAtzNpVSj7KZy9xLybbO0u8Hk9BcWm7yH2rgD9KBglqwZEPM2FTPeePxwG3YdrbO1m
Wb9bGR4pKv3ix+x0hik6lLUwT5gpoaILxWptNP4PJhdPo0MRxew1hGO8xRYXPKsN465Y9Dlao9z7
c/DFVIBxmzbg/HU6sn5CX5up9mhW1uVCtgu5YVforT83Qcl6kxGhXahyrRftlzTzuBiFsRLd8Epv
eAOP4kEb/Eu9765mE0x/m3qQx6GcmFV8mGP7B+Wos9Il9BwjaS9xDAciEZ2yftjKDMExrOFmakq6
Kw1bq7WQrPblGIU4Dx65eofOUGWobO1G1j3wXRGjE5NqJ3txpkni5Lus6l0753cw7SBwafEtejo7
RMYkGBreZBZK1zupwDpUs30xtAPF74WLP2MGMBxbgW6lA3F2nVdlZY9R0aLfK3fZpFZ0GOumIgjp
VbTtRLSrpbupqzc8U6+KwHvupXEY82DTYc06tN1+6OttZJUbg/nCmonjQU/GaJWl2GV59000bGCy
7Kfkqqm656lgSTLke9hAcB+NF0q5a3PomYQEWBwEu6SLoM600X7WxNKQywc36r7ITEUrYaOR48pn
H2sBJwdRDjm0DMz9kCsEXy/HGS81G8ln8L+32mydppHIhTPeCiVHyJeOd+OM4kc9HePeCytPvxbj
OzLQV4z/tylqplK33qnAabfRDcbd80j9BjQ8eU/M8ruI7WvL7a4sV+6TLH5AMynUFSJIjgxe/BSS
i3rvqMSbidBZlOvWkVdOM3IJqxeuyFMzORde/tb7IP/78i1mf9Jm6aXS1bVHJ2ABJtuZkTgxG3yG
incr2+rCQ3AA105WaDjIOcVbES9WEJr9NfDwLVLmvhqnkxcnBcpK1joNjH1htcxU1Bc1qxcoUmHu
zCiNpt+Yh30trOkoNMgREdrTJkOnCollqIktqMoiR3E49VdDco/mt0VQEOyNCMuKYW9XMAlXYTcW
u8E6zal/GMz8Wg+SH73fhxb6BHBqyZ8VE6URdD4adSLTTzCHkPMNsC6ys1tZutCG3DscgNcC3FhS
dK/iVOIj0T6mQCesRtvWbXpVM1OloUKcqWfHm3gOwhxmWAq+VnrD5LlU3i4fh31VtN8BLh1FkuGe
yQuU5qVdmAZUyPwQIB8et9iwj6yYPPdJjvIrYsBR2Nl2ASFQAPnGTg+Lj3k9psXjiPjC7TAHxtoV
LbB3XaewqSqALL21hu54kaFUlHVIRpW2c1ML95Vm8JsZqWdUIHaARYuVZ8snmaHkPGAg7MkQBtPa
Re87Hilm5oceizlF4IU0vLac4q6pge5F7W4ynNDrtbUZn/rBgT4txktGrUhUVOtgeM8FNlLJbdfA
EGFzGHUJFqwXWjJt3Nxbj3fjLLZVCxa6vG4iyJMaGAOUZgX5I6EvV3eKVLSZGKqmw27Gy8Izn+NB
v0uUTjzwd0n8kCWLOpKzV4l9M7PuqaW6xPb5tjducM8Mc4hbc/Km4aE8NnhPVcpZTenXYej2iA1d
JrXEzawZL8agBTzfuO9B+SS4m1MVXzDcg2ZU7aOARqJugLkiGj/Fq9x/wNls69vdlwTGBvgNtXEi
PcFYGsqe5j1nnVUh0PHUzDFMWe2gzCNgPQhahCybknSM3IumcO+N4qF3whi76GGt2qyB/wo8iWBd
PMa6p60RckouArbCCiV9Sst2Rni5zE6178KkcgSS2iArDlFkwfnTZdC9OENWPeG/2YMzcBSo8m56
L7vOvwlS2nqZWf33fqjw+csCfec4Kb3D7EaIail/bfrOGFaOo3/DRVvc+lbhHvUmduIVwb7YB2ad
PVVs20I0r4K7ubd4k1on3gqq4X3OfhThe/r+sIOHcgE60VRroWcCW1cYaWOeHAxviveetPUfPNL/
xpBu/qoV6GcWztRBmkmN+wpNSLTC4+7aF8AL9TItjrrmyXv6PepjCrNx1cuyvW2KzHpAhW9cawGb
+ikVwwGsVn2sejs+KG0ytx4065sSKYJNNBk+rjSamcHnhJGtqro5lRWWjOSaej06wXzQYF+dzNKL
LphAtxeB8lDyYdOETIHEINRDSf7UsVpfl+Z0qnwTPjfWpek9I3PvSZf69K3G++eYdm60jfE3vLYx
u35FZCO4Sq2yeaTR4f74bVx89VNXvWi55QwrSuP02u4758EJUnGH6sR02w5BfWUM0rnr7XS8llUg
jpP91CfOqvV7uQvmbryLKsN+1Gx76ldlMpmvGMkN27FB5N7GKu5W9p6CxTmj5UbCfBNO4u2LSvmM
88fxKz7K5Y3Kh+7GgUR9nSsjPRQJqgaMwJetBS7gAj+6rTHhhhBT169cq2bn2+PGakWmgVdcWuwC
gX9LsTTYZTYhXC7iiHFvPjA0s4TzbAEMXo+Ep7fUyU2ESpS1t1PPODIVmogpJfp7eXJTjW+jUIj0
C+wJu3y6NuGTxau6mPr7lpM5GcmmnYpdhVDtRjXzNwcdPDreVoH8ifqHSHMf/XK+dpvs1U3yve0U
BwHKx56Rare7ZK+547FJ0jCpB1TMPGet6X68sdGew2V5hdfPy6A1h35KUZYwbAQGSWZm+sUGZTIx
rGWvuu1A4cF7HEgMtjMCbkeh98qPbX1XRvJ5NKsHs7QPie5f5baCeDmvRWrxidWuz5hLyyfD6IKw
1toX1mpiNcUJFWXhPvR2/xhpxnU9MfvTiESJyBDf0w6I/7GhiftDbTQ2bkMmzt7lslmezevJx8He
tHN8GsowaMSpSYYW9ARFeZsk4LztbS+7bdlq5qYOW/WswGd3VXvEpWAFK2ob5+V7XbafLGXBUf8y
7GDJ7gCbAZbsgkJmFh18QMXDWqdictxh7+bPtPnJcR7VeD0OtQmlL58udLdsrsYqnm+JT+JuwJbh
wYDadi2jBi/Y1i37Fz/rMdU8X5VsuTWYFAZXznKTxHKnsuV2Ncs9M843brl71Rxn94OF5Pmq4mqq
5Y7i1F2fgPDNF/lyg6PzZcZYukUjJ9Mu4oi7Pi233l/uP4zsOCxwAjkVQRvs4NJZ2QpNK/+QRtm0
KSGP37BYw+lxiS3GEmVQixgOcUTk0btoXDf2YD14zkRcMlrq81iI7l5Pq/Zer9riCAZLXtSz7K5x
W7S2wRLpzIhhOahY3NaXOOgsEVHDLemHuURJOXXJQdTVKqgbEWbnYKqWuKolMXS9c7BF7gcrmMwX
b2VNnVHrU3Bnp1kQCsSzn3pL0DAMA+FbF4N7bKZB3NpBZXyLAm0MC4CbVp2S5M9JoFKZsRuWzNAu
OSJaskW15A00Fqd3fcklcskqzHOqJ2PJNIBcSDr8mtUhRrkhbJac5C/ZqV3yFCsYcRjHCt9YcphY
splBWkuixIxX/tzO3xkSHtFAwhe9MY32aZCF/uJPqgMThuTm8+R4DLUKZU6vA5Ij3BoLx4Q6ZgCV
cTZD5fYV1G8KOBMk58oayyuvzcsrkE0JKBZTXNU9Jw8HRgw6bShfmghA80sv+mIXDqIyrAZmmpuq
M7ato3sSVO35iWhtFmuv8FuPPI2UJoepFBhRVFV+U5Wp+8VvTPNYpASJnYvxQQMf2qZSYGlZDlAm
7Oyrpde3vYWfJNhE02m2IsJLXNItrBV6pQy8CgC0aecxVXPqMeyb5k7Qbe4HzX6VJaMcpfd0EjN1
5czxnXKETuNpDAMtekjT5iHvRBFqQyo3s1YWuIaVgDJp2H/QxDxraGOfLBUEYVvbj31C6YmEuoUb
eJ8RYYWPgk+c3/mDq11ioZqFJHrUhPQsefDwNlqxQEkvhOs+JEb64EOnPqZNkO1LjzJbFfpFbBno
DvX/yd6ZbMeNZFv2i6CF1gBMauA96U6nk3R2mmBREmWGvm8MX/82IiMyFVGVlRWTWm/wpkFRQdEB
s9ucs4+a1E5MA0VPh8MdP/rX2DKZlVjxT60NsibqWVEVpz1sV30ivsVcjTl/nAhOtU784c3rrfK2
YF29K8Tksl0v7X1N2O0G4WS+Ipd6H6gSw1AxEvwC6GXHMJWxitl8ZL35QF1or0xBfC/Vx3NVTi8o
x4qnkfylezvI1N7t+yHATZsi9/UrtclSVI4w3CogFZa1dxJR7QJ/nleBO7S7weZdKwPmmlFb0oFJ
7a/k1H4dSSq/0VYav5HN/NWziMnIvarZZz6b8jx0YN/NWc9jFberOs+ndWMRktRVJC3raEZmDxeG
eBWP7FkZ5pQWlUk7f/EwowEho2LSipZfBUTXllHHJ6zpWnEFi3UbDle+z7uRjpdx7SLsf24DURzL
zosITgpNIhB1fFdG/g8LEeeVLJKZp4ADxSDami7mJ9D4K8sRpCFW7C/RPu65Klk6lYLfXRaqH0hv
vVUGV2WV1m2+oSqAYqjjb1rbb2P2bnrJHUJ+nghAELrwL7NVEtqSFj9FOz9qqxSUwj2G7azDEm8E
vg34IZbntrGHjZNwOFomjcdQBFxW7PaeBljqz7jKWrpX6/tUms7Wq5NnHweehfpwa7COpjOumhXQ
XnWSvnPU/qiYJfN+QS8dIY1SDjCQPgM/JGyl98v6EHfAHdDyqQNB5PNbEixNpnT0bp7wvq6mFs00
0ePD/DWKU5KrQ3SFxK4ba9dj6OV3SfUBQNa5kYYwj2oMk5usc9v7qPS7y4Af+eJFxvQt4vw5Wnbt
H8ju7r4OS21VL1WWs9Rb42+V11KD2QbeKGMsDaCxS3XGies+A56bHpuleOv5jf+2Zfj/tqH6dUH1
v/af5fkj/2z/msz633eNhSjv36+xrk1c9c3HrxjS39dYfNvvayz7iwOzbtmh/2aV/WWTZX1hd4RI
lq2vsEiqY131O4eUTZbnLesqxGekgDhLSugfmyyb2LvQdLFaBMTVmagC/8YmC13On6oqP1hIqC6Y
T7Zj2DxDc/n6L6usqkgNg7y3Hva/qxk00ogzszvkAxnRwILe0MfJ1TCpjHxH+DZz2X1Otv2KhvYN
GL35GNXoZrx6/NFpDoEUWRKDENFvDMMysLvVxVName1xsZ4vByBJ0yxsWUQnD+j7ELNCkDpQS3KU
yuoM5QRlY6wVpbH3Rqp6vRO9fixp6fIKlr9G/ppJD6sroDTYG8YPVzpnB5vRyiuN+itSEQZO7JMO
nMSCEY4T8X+Vw9eY9RgihhPL7UGRDQ3nJBfywhYj3IBUM7ZmTeNtOUlxAmLlHDtY1beVUYmTKiIU
05Xv5ovaX79EIbOtOP0YMRCkDBbh8XcaZx7yni29DxBvJAlr1TMmTGy3f4RkRjpz6p4q1t8kOnn9
bo50CW08NAjyttD9rPxek1GUeFb/0+rDc6ul2FqN4z+4CE/XYaW2qm7TvQaFg2y7Lu78pIQyN7XR
N4cR6kFQdtyq1q42iKJIgRpD/yYFW3ELG1N864T+2kyhWjuUoIstv13bISg5onSrb70IjbtIDKRB
jbRgcTcmmznz3Ls5JcjZy8vPxOrGPU2wf9+YCTJuiaSrTyybw7cMGJX67jZVUGDGsG6YOkz2Y0D1
RWg4tgvE3vdMH9M3p9RvblAp+BcaDvdyW+eteXKX+7sqXYXEgDs95VKJiyA9+GX4NVzufTHwxzE4
aLUbLb/bDhQIpJ3zAAQp8JqqUcfYz64sJK7+UlcES4WRyym+thFEs9THetOipMPyQE1CZFxAmUid
Mqehsx2X2qWjiPEdbOo+s+i7PqlfeV7Dz2mpecyl+pntstnkS0U0VC3tYIQBedqKcoKWQfGULFXU
sNRTLG4WXIv7nhWTeUi69tFaqq90qcNE4rS7vC+7F1MSZ+yJ4HHQ4RU0yqVwaDfpeGhPlStW7cBY
aRUOgFunqV2WtY5dN/scN9tNEbEPolJrqosrpmpreYaxUU2a3Ycg5raly4KLtJdqJ3gG72XXDrcE
L8VI3dAnZ0pxnIXtfia7YzHmK+bLjXNE7ZI8tokb7KlqoWB77Ysl2+kpD3NGVKzbD1YnSXp3BSyd
xN6n8ZC/ZAmgbj4qQrU8PTDHTjrwL70RvTNzH7ZRatcnAJnydtYjWS/RwP56ZXmNvemj5rOsGnD7
lL1MI+m/RO5ODwwCw00F150lcO+su1bcAl917s0mwncWecgywjF+GK2MUr0K+nszmZFAGmL+3umQ
S3qmUB79ktVs0qWrarYeIrKyNj0dzVIFlTuAc4Bx2oiZtZBqk3ZjAFmiYtRvqyWPI8/ygomTKTbh
aPSvug3Fcy97/1AHOnrFZo0oxEQS5g1mso9dX93ggtXH2vfiZ3hezHHLWjgrBRfqMZst4wwyZ6aI
y5JXUdivpqJrLoVeyZbssqqdLlU32J9DZQ0LMWHcGHGLigeRIYaVqZxvA2Uw8GczRXc0fg5Om9/7
lTPeElc3HuidGD9EFeMGP0t31ixfAzerzvAkjzie7Y0vVp1kFwm6hLgj7ZTrwKiP0xBhvrZiJ9nk
BAWjnlH+0c3y5DLOUXWKrC65VyaD3tLsT72Ih33udvUryXr9ir0cq59aM3bTMIX6GP933mp+ncmc
PA8hP0Y26vkxUvPD5BX5xg5gS5Z6jG+qpH/gHmJSWUaAs0xPfqMLmg9WZlzlVJvb2SngxdlFd1+m
gYfcf443EET7TWHHJ7IUQMtIt3zwEhM9acx6vrHo+JBFLJ0Z0i7ofFTUBhDrG2TA/aYzam8TxQHw
/CZtIIl0S5YF0aBRDiBn8B1O4dj7BEZUbEJB4+SG4UPeiO+xHWDvTdicsLplq21WCLAG+linb+ft
0EccLxHuhbKIXjC7cisuPwOyV2crY9h7ZRfar8HA25x5UO3xdId3IH8AdtqDhwcndeT4zQDeSRQe
StyrXQU/vTa5y8ee0xewIEl9W4LX7wc02wQbpI6BX0WNj/aoEPAGqbHyjOTRB3jAqlkkLxVu9G1t
o8EIZ/WSF2LvGWO2EdwJBUE04TtbXjzNYfWjnHigRJtdhzr1sbxp4BSZeZ6HmblErdfcdskzIEh8
/IYRrpvlkw5SHe2cgXo+yDl6urD4wSb4G3Xx18G3I36ppARuM6QOWx/F1iKFiW9BZF7wNzV3gSlx
puEqjS1BZhojiHVZDPYGZQNKyrkoQA/5zqEd0uaK0rPbzC2+b9F1+cGZyg/T4BQCo7Ih93ArOu+b
Llhmud4PNo5gzzuLLZ/j/fifcvc37dd/Vm2xAl507f++3D1/yI+Fu/+Xevf37/u93vW+2KQhYXpA
BAarWdj/5O47v1XCCzwCqLxv/qrcEhS1EJ2Za2KppdVEs/xHvet9sbC/8BTbADj4K/2/U+8S/PLX
ehdoLal3wEXgLAvf/ku9Owctm2id5ECsSbMs/A/pE/MRx01+Vq6OTnHG4Bdw+TM5p2iToMPtawQq
H5Pr+XdJAId/YjGUePiKVTVye1NwuEXwLLGuwToPKRb7xYKp4XyNqTs8DI2Xr0bbaQAG9NlTq/CT
JWHTIPtwWXVSjLXiTrdzR7kaw7dI6O+H6KHHESigQG5NEj1WFCjPk4qCXbPIOP3cO7GtFB8+IcPM
gBnFlDZNdhDOd1k+5+tu7NjjoaNdDewLgZSNu7EdSHFOyFVmuMqOqc+dTU0Y5mqy/AX0ZWzKcHyo
lUs1Gf4YiQIdq/yU96jqW/sR6e2xbCq5xsG9ho7107Pi6dZQ0bIWToN5b6vmKeZ3e0/2ZQnp0qj2
kx8/T+zFhDGeeo9fZthVzinR/JNjJz27BewaI4LhxLLE8XrW3WaZ7+Op+04dMp+jlzaEmNHWMFTB
+9+6lsrOLIRehKc3Wd1vM5cImNyt11ZQ/OxcLCahQEuOtGoKBDyz5Fqz1VIVl2Hjo88AzbUymaRt
jDk5GLp/MGxvYA/aTs99PHs3jp8T2GVPmzgtt7pCeDP5tWStIdUTGmhS4AfCRbhmZOtmu2nSAZ6z
3L33fqOoejNOAxyna83qeh90iFRRoXo3SLz01cnLRyetXZRrDhP8JFf6ycyimdFD21V75OXyfhLk
a3vPIPyg7SSiuIyNYaxhhdxJ071XbNDTVLzKTJ8hVup110/knIzNSTbtjQFY06QEGCVgOpKptadj
Pqr23DTdz7R4MmF/cuuFzsHzq2ytaUq2nbV1p2FtooBd1aFjrKNphjhp12c9mCdiG4cVGPJVEASI
4PWiGUMD8WJnFd2Qwr0xieX/ndzUprFqssp8ht8YrwmU8SBvrex2h76OxXkwWvsalGXhWR9uZDC1
t8KfWRLeOem8cs2cjWN9cbqAMU6yKVP7sZmV9T5gLzOBxMRbF9j6UyiwQUYQT1e2ZsPioEi/n5Xj
Xaxx7nZxaKl9gePhe+XW/RHoaNytW+2JS1Y71a0TtfqYuE3w4TW1Qg9eyKMBhf2GwXt/A2o/e00c
IHBrrqX4pGxl3qhENgfNgu/a+hM57UXXoosy9Tvgbmgt9VhelHCGG98vsq9ckf7T7GJIyMw0paIs
xFGJMjyiHhY7S4zjrrOsZWk4T3fss/Lr3MXTFQhjf5uYVf6cN7rd1YPNgqapwuajo1ze1JYaABCG
3h20vuqUDsH4gNzFOXvW3N92UAnfrSTraVvKCZxpyAQ+E+lNo0Lvfm5K9Uk+D6qOluyBH2jE6V6Z
lId3cz/Gd7iFxpMHTfqYRYFFsTcM5iUIJvNxdIb6DLvSOuVpqZ4pq0JEZl5z4lHxT44xmqccHUO7
wsTFtDmv/D0x59k55B+IEAIFcpIps/gPpkDntynEvwS3zEBAFKAm4RYgUyvEYvXnKUVKE1U67Sxv
Aimzc+U25XCTtEN7JiuZtV0EN6iyxnGlbavfkPxIXDQWjq0HOniLNuMZk5ixyxxd8xYkywS1tUqw
cLG5Y7fQIoOK5XtHhvnEMye9iyjM5NiZ+ZksLxxbdThfaN8pV6Igu9MgTlc8Sc9eNJWrhly1A2iP
fM1cw1sp7V2bhiVc34/5vegl5tVR99G1GskeIotDMyxs/bkuNqrgL15R19GWCJ9YjWLGAbVu0Q5P
wAhA+JJe5ZbvwFLreFMPstx6s1U8w0gM3kGd3JJGBaXYhn3nGwAiu2KtUYVWhBGu684vNkArUcXn
BIU4RHDq3Or4qZzHaupOqmqeItjjmHPMjvGOdwvNZ1rPdJigx5GDOdAM1/6YaEKUEVLO7nCMmvLk
x7z+cawRDrUSSwCZ00nf6G3OpGBVj0J+V4M33hbD6O4MtPywg8hIK3XCqCO0sp2v0uSxmoXcVL3M
z/08+vswwozRz/Tvq5lQhNNYLRFhfdKeAIeEd71nqmdlSvskY1GfUzTej6UlzItKseiuMZl3Rz7r
6QT+LMbd04V3VJs875TS7Q9yogd35fiO+sRaVqynJpp2zfKm6OWdCZa3x17eo355o7I26G9VNDnn
1Cimh6qO65NrFtzPqh3OFSOIDfiOFltejl6VGA1gvcsbHC7vMnHUMJL9tLhiTJjuPIvbB13aSPHN
OYDbJDzqmU1Z5ZYsSupieQ7q4AmRX/YV+eZwMy/nyrycMO5y1njLqdMt58+8nETxciaFRmXepCxB
ToUUHFkTzqVXhMmE9qakmFXdKI9ZhzJx6ETwkWS2PlaRwSBIpP5F5YRWLEyP/kgBIr7TX6v9hKMF
FVgsLvxp476vpVhbKEa2cYxDGO2yXuR9UQMfu51DKpQ0tPhnB2GaWdBA/WTckdqJkAihocjXlnQa
jVtW5cO58JNgbXq1h/GERnbe2CFSCORLYZTcFtT61Sv+tAZ1r5dWHa5HJ+0OpWwGebIzU9IQtrHb
rPouGHpkVAWg56aO0Rqb0kBAGyil5SbUU812dfZm7mvPm8114y49Q1UkJWDCzrl3jMG+C+TkPUwG
CvksdNptg5nnsSUGPMWWHuXmHjp8lm0JfsewFjFdQyZZMV0bRD1ughDO2KrxZ2Vs+zyjAqLjZfvv
c2y+zRlkxfWsCouzRSdJyCNm1RbUp85+TLua30tRP/iRnuG9JGjiWl2tO7s4tLC4donfPXfDSSAU
pVc072AdVXcuiOGVjddtTY2qVvhCozVK+XxlRRrwfiinTV5W4wqfAzPJIfmKdWjc6WT8bhVOvQ4a
B3Kqti+RWY9ncPz2WrTNt9j/hpg2vNU2kznha3szdFwDTgknkqS1va9K9rfWY4IGZzNlAbpd2Awq
9wXBiY257WvXP3ZiEoesjKCyxM4tGQqPZdpz58WWczK4/7fmXH3P2tJYPiPUTboCdq7GC9f582xV
8U/PHRVhD6x6x6ycjwlTmNU0MhezAlNvEqvWP9lo8AyCIa0clNSdmWCKjUks/J8+72/0eYgr/n2f
d/cpFY2e/utiY2n0+MZ/LjZI1FyaMmtJgXcXvcY/Uk2DkOhS1heCIsr//St/LDbEF/JesLkCXSN+
j8zmXxu9BUIENQTaJFFa+FL/xmIDw8ZfGz2ojcECEBABdknfZYXy62KDSU0XeDy9hyZsXHmw6xRC
NcyIqWGvEasfU5pltzzPU3XjOaJ/ci0dyK0YrWTe4T92nuuELrHoBEj7SqTDxODJwPnqjd1U73ND
Oc9h6xM4Mo7mfW4YHmZ9r2DO4QMqQfDuukl4YKsfQKLRQV2dTKOcbtBCou73pJLbIOqoLz2ivCCV
ZN0an4BxDa2+Pga9378BDskIpgjCrWUSTl4XwaMJW4VVuHkmKozNH8Y9WEXt0Hyvs7oa18yY85rj
T8qTmUDHpjax5pOn2or4A5eaBF8YfuY5yw9+3yCZtWP7EHkB6HtvdhAga0ahLsKNwtCTRPOqxcOo
nPAalGGwH610RBmYhetE58PKQUu2dQDY0EqGxdpWggmXa1dE0QVjj35sqnx05OWjxZ0VYESINTkQ
GLvMk80JxGi5GIeHesiExmfJ6PpUxx0qzCgYBsB1Y4aOMSywt2xaK+IOlAbzQGSTLFp30tItA+0h
NKyH2fJCfd9IVtcPlmty6ECriJpDSm5pRPcXWPNNb3YiuY2GMSQ/NYmsYdv3wpsZbKnsjaCC2nsI
8gaNvkWmECk8CpMg7ZOd6pUzt0O/i0Q77P3OVD/MspL+Oq/ycF80vfXiRSNqa2lKuQBmfoZIbntj
rC92EdinstEVpZRpECwUDG++gB+ozOiCv1msuFk6CY8tpxVqxk1OnOkDlRcVqQmIuwQUgw7fM8d9
6xbtDycf/EPJEjrexwhOrU1WmvUmZXx95Q4maUCjINSbHAzaE2ByfSKPBYf0FOMxabvsqSOJYNM7
YcbCuFAkojrlrekzpIWPJbdmHNxSxoVbCv75GhWxtRvq0rsV7C1WKjH2cWFhVgj6dVq27ZN2yRtQ
lmjvDWlFuzEdZb7qQBys3KzRiGBL5ROdm/Pf9yXTyBNznWDD39VsNFP2U1O7SGWtxI2vPK39kUW9
BYHHZlaMWz9ObrRMx4qMnn7DAAIVABnbN3IY0/swwFjX8dlG2L4iNNmSaCnm++M0gb4yxnFD8U0w
TO6/THGcP9S63CM5zrZ1iPslT6DDerZBRF7gV095L1uuvT7h957ovUhk/e6H7FkQdfV3Vac/y77H
t1ZpO0f5EHUHeMrJTmB9Td8qYxRPY4l2gwo59b9WukN3YObCvRmzwWA+MPWsFhkfC8Put95Q9zuz
bmpkxv6Ii8HL1rmFWS+bEAa6WCAOWWjcmnknOGHy6U54Zv8WmS2T6FZmFxk69W1bJcUtAvoQ/XKN
zmgciIn7n2vx//1aXLAd//5a3PwzhpQwh/99Brp88z+uRp8dvWWjBGDpCxzpl6vRN79wJbI0syxA
WSDDGU/+cTWaX/gKL4JAD2AB/uWv+2MGan5xMHcSwonVgvhRwuj/xtUYMoH91b26QG0cfG7gixCO
BdhX/3wzVo0B2q6wXMwy8c/eF2e/8faVCK9JxHGFeHCbacaYA6tO1ICkvol3GpB9H35VY48qwJBH
djwvaS/2sB13FvFPyQmY4W03Ypn08bhFwx0M+Jcaf1LayV01e/tkbtjXrksVbdlTHa1mLfpgJ0a+
Fy5vljQHt85uUuE8iMY7e8LZj7X74EYWZLCVDegZjd5OVyF0wPopMKqnGSNQxHXrqnKd5uYq677N
2ZOWePTzee9NYue7451fBTd0miercs+FO71UDvSorrjwem0rTdJiTlg3aWVUxdcZXD+rRvfaChSS
Y3KfRy7QSbXIxbzmMEeMxBKZPXTSPziYMfCODV+7JryaQfOWuPzKmNSRACRuUOFtQVh/NzqGrIxR
XU6gX568/4P396/c1398iD7pdw4PE0/NMuf+RbehIbu0Cl8n4HE8iNwnOTp+Odb3ntb3fgO+jiDs
dTr7W4MQBcwT/wEL8VfeC1JtmnFfmIz4mfWDDP7zD8DsgrLAJoqVSI25quJT0De7yaQrHLTnoQmw
790oFfs+mi+Y+16GInZOHivrm1ww1/VXn9rpmt0sGkH2jRPvfCvKt1E5n6asOfT1MkoLpHFjss3N
ofEip8ryzb4Y6YEQN4DbH7PtCGyWqBvBlRN5GCmcYz0BRlYUVdu+tb/rMdKrcZofejPezy0zK969
V6e2j6g67oKkPxa1qm/LupLHv3+Q3sXfm7Itf3Z/lTv9SRP1b//Uf0dRFEdGwIrm/6qKImL9o+vi
Vn406k/H5L+++R/nZIBh3zSx43Eg0dmCD/pnC2F+wflPsJrPRN6kmeArf5yT7hfL5HAlLw4cpo9y
6p/npOV/oc5f+Nuuxbf6vvN3zkn/t4Tjf00dOZ+Dhe5PRxLYC5rnrwA2KDiEMiXDxElSKnuH7b9Z
43i32WWGBQw2p5rbZAuOiMp0kBHrFojROMLcyZ6MVSc6QHRsvE4FtTPOoLICiRzlNeWQnz2l8Whc
PStSN3IqB6IyCnVsct+Uu8bDHdqit936DgdyW7TqB+vgmdk1J5QCIgY8N5pE9gIqLMMnBXLwKK3C
HUAOChQuPPQPYipzmyXrk+wdvZ4h8OZ5H6zsIfe2fdw0RxVQtk9cD/YOAxRNfDTJrgPrro1xX9gj
2VKlZgXeZ7P5FHlx9uZMk3wq7bLYCNMmWCbQ8k5nANtQTQzzN1mGHl4L18fajGhutEewJVZ64yV2
CJQaAjaWAov4jgQw+2Vq2+y+mtNkWxA7sirs6ShxdxNUqGBuOw3FOOqltduDKJlLYX0LCHDLV0XZ
4wIh1Ss9YRdPv40inIkzJmjvhywN+WxTZS763xDDXewbtrWR9lBsOgrpbeik7sp04mkF7Nu+TfgA
ELyV7pruYDhOZfOiY7YMG9+eCNqa22JaZ0lhlut5qoutcufUWZKnsIyKMfmICzf/NO0IoU4z6MpY
1cWAfsMMNU7WkPMJ9qZBklM+g+AKh05Oa1HIbkUjU2bcaKNE/DqGOMOK6l0RtUwEJ5Qu5LBTXNaM
LImVaYxSvVExY4uGKKoOTsv/x9JOMWzSZgyIBJQo7AA7NLhdStIo8CkDIjswg+9/ILIZ1c6xywnz
mhHu/d5nMmxLodGv9yWePCdIq23GY/3cuY59SUn4OkWib6+qUOUHgBuVIM4t6vDIlecs6cVT9b3O
Pf3ehqq0Nrh+GBWHSVN9tfquqFaztYShJEnRPFlMAS4u8KxoM1djeEroHC65qut6FRQKokFI9tQD
Xdv00roGgUtM4YxPmFce8g+LvEDXT/NvAmbLPpi47VCHhOO1LQoHrXqXM44k+0vpA5tKZA2DoQpE
ewitgLEjV6NFxyQxji+hGKtHryvnG4fhGO9tWmOfVsawdivBSM1k+bzBhDbV68i002+Sl2v51oh7
zG2yrD6YMYF8W3cQBCF7jEkzBCaMLN1sMl9lrc23pUnSCAjLeRll8wEGfclP7ejAY95QE07Qms1o
rRj2SlAbqsXQLz6jzJ7fRzltLayMjKud7+UQkkdlpknzzfOnHHmP5U7v05AQ0dyrCcZnO14RR1Un
RS7rISWT5bYgdgo5mez4sh/T5uipfZ1bH0WdbDtwmxDAV8nU4ZU1Z0TjLI2rdaGrYpeyK2hXaGcO
oI4wiuh5Wy4JgcOI97VyFFLiGkjcbPvRS2gnCA879jNglkKxNizu1pXumqpe0/rVG2LgYIu7c2xa
63yc8nJrI5LJmQrU8WfSV+p59pU6mil58ltmshAIDNce3wxeFFjiLMd7JOJ1/547iWp4RToD7kQ8
82rPuVdfKh3nmnTfBIlJPlfTxkKHv+oAZ2JI6kV/rutUgx8qyvKmy9v2rV3UWqw+fqRET6Eiajin
hyxjMRemi8CmNwCvzmH9bHZ2AjQMePkqJOD01Y1kc3Iipd4tNkUMYLx83vY2qjgeWOada8osM17X
9ex/bxGeHyRlnlnHLnlwxVDecpUwU5ZJVv9wDcl81mgwlfHLG8e7uO8l83dPao+hRgLZ0gCLp9bE
jJUBuv9a+Ic+zFSAUV5aziY1w/ZTu21JouDkr8q54pZxSZJp8qa+jURcMHfqiBiLK7hVIOuytNvb
JBEp7L9MM9xYdJgf54INF/wUGRNYJbx6lfYODtQZTXC74dGsf04w+llfIL632rbF/jVPHE5hVjwV
Bq8boKoY3/JY1++x3wJBQ3MUEAHa2C9MHSJeujq1TyauuOewGeo3MJDBbZBkktmB34FWCirp3JMY
WtwLBv7PtWZJwrEheHx8HMIOdb2Fcr6NhzvtdyAd3MmVL4zCTIAjSPl/mjU5Dkd+QuUgCcXuh6VB
B+/dhGSAC8pu73hvvfwQuTbxoc3oiStnU3Ma8jA5j2QA75yA3c0UofQDIN5gy8iM2FCE9WbWzqjL
GF1C5L/qxBxXGdLO+zQhCZrJEBiEsYwv1N/FWs2WRSkrShYkqn7ppZk+V6FTbSywDpXpO9cOB9cl
BeS86dPEOdRebl5rszQ+iX3F8W9Lu99UTuncoGNDv6ZAWV1zU/oXv4yvZWkal6jUpPlghiBkUyXp
xUhsOGRuhVNl1IWHUzLE47eNzQJkOwzaJU3OT3BtRxn7W56EzKk+gFtE7IR7yZrOT1kpzuUIsAJV
cCcpHYZsnL9nCqeDgQ67WRd9qe5LkbWnvML5j48x/grq4D2v5Lyf+nDaRzFLIF/k8UfUa8RvwZg+
BlAQ9sjs5gMm02JXoxonrTmwjX+w7nWv4JjYbWs3d76X518zNSCRCCx7CrYMNFkGFo3JrEVWHC6t
E7g3vYq7az2P5aEwGnUX4sXZdovAMCf0JV6lJcoZs3UdMp6sfo0fZ7h6XC0P8EscCW4V8BDGeuRw
pTm2H7OVjHdBiwIclWKrboYyUmdpDvaT6fbVBaF1QjyoZNeIJFc8OZ4itiJzF59a69j7JJiCs55N
2REptpivQ1NldyKB6lbpMHrvdZo+dj5ihqbOHJ9bmVKC9rZCCWjVy1rD0o1RrQFAFdklJoOZKFQ0
BNzfOXuVpu1iGDBuqV/tGRgaXpvqklZAuaFz+3W8clrL+RADRTPwAqleBDHczW6k6TIAn6J7dmUy
b1r42dHeYdwGyyju9XgTAlkvkb8n4nWAdv2MUXJ4JE6l3ndpbt2PtrLrdee1He4Wg+MBLqLcizzr
3qVOy4cG+Uq4sWUPcromh1WolHd1xqR78rWD0Yqx5bA2WA8/UMCONWvdQb0pq0O8kI0DKmD4TM7V
TKb6FQdbdQnbBEmvaOZz0As5QBNy3Wnj1Q2faNPEc77Suf+jdF0GbeCb9dkYouI2rApz38whApVm
7AzEhb74Ps9BZ8GXdfVHh59Nr5mlG1tXV8O3xM6QNrHZWxLrVHhI2Cw/kNxtET27/CvZXZFI59bD
ezj4VyfB5TAC6Xvl5US0XcdFdQkWU4Cq82cvzR4BC8QswWR7CnPl8s4SvQRqcmDPnnuhXBuaBI/C
YSuxiiIRvlYWcsYVmGtJ1+oCoVvRsjsviYjqUwjZ8pGIXvGIL6+6o3nJTq3U2ZuBrDlZi7wNvsN3
UXv8DHAcJ6DTZxRMA7yUrJu+BrE29W05OYM+sHsd0ltV2GBNhZT60Dme9z3KJD6xwkQZVuAMgnRb
+djN7CYIz+TZIrPl5voks1N8Shk1/XZIUral/czcYiOIViLaYHBie2+XYYyQt7V3Rpklb7NhzI9m
mOMuHNiWc7ep4cVKQ/XI9jA7F0M/X+bY6T6d3y7fJkoW8u1cUkPI6FEr3X6byv9i7zx6ZEfS7vxX
BlqLg2CQDJILLZTelMnK8rUh6pqiC3rPX6+Hd+586mmMRhoBWnyAgF60QdfNymSGOe85z/GaWzcH
uFMP/Zki9lCtGA2rz6iIq3E72F6Ewy2AUrqWishEP0vr3kvdYQN4mFBmFE84Uxu95MZFbqcpNKWE
pgM4pCwaVYGNVnfSeROhWWG8q9oGHlJcgxkSovxuGxXwlaImxQZK8iHOhuqV0C7BtIo5tAbh9gLo
iMnsyLzjSOFp0+7MYSzosMzbkMi+PRtHSibEQbrxeE5razJXzrQE3rkkayJjbXcTR1ZW7lPltfTI
mPDQuBLEB1UP8lCOokqpdwE0YjoR59CpJ30SdXlZbqxySWMkGNuBrrokD3PYoacsSwKwoVjn9NJA
XFwatOhDh3OF0w3Ylb0jmuTgObmRrMgZyishP/swmCr/5hVz9rHcslv+BCvTm862jEfR1d0Fekn9
ShZjOlIXnXFUZcNfk42Z1yWeFf5LLzhiGLKgfXUqbwo/xGTP6LkI1oUuks+s0HV0kG0c3mMC51dI
UwIxfB+S5KHzs6+6Rb7k6wL/hIDNxajjxXOvu2Jdz45zDqPRpAkLaz2Jw8C/jjKhH9Obpb2GSqxS
AqA9BxJgIsDZYseTG7rR7cUor8pD01a0Fzp5bHA1jdDKtYwz51C3DR8Nx3iR+dMZzwnqIzvSZ8yU
T63zOGiCFTklEJW56eIUxJsU9BgNQHHOtIYvczMV9auapCh3tlRtCW5E50YSbqnhEPzIPFMR8Btp
xeUYmZVbt4tqb41xJD76KeeyMUyL27D+lZeCfU8w2xXPmbPcKZg7akzb7OJr4Zn1vd0xHc9UGxyw
nuaHPnWbY95NUQVINRtfkGql2GeJKo5G1Qcoil5crXFt69vctyt5tICaha9uN5Jd7t2B0de/L1U9
FRl//d/pVP+gZv1nSvj91qP+5Sz8FAFPiv5sev6f/+dvJcv9qw/2miMU6hOz8CXL93sYvrieBdNe
y/rNsfy7joVR2gPuD/KZww02KATUv+v90CpxOqP3w7BE8qfz5d/Q+8EL/0nwh6TvkSGkCoTXiHT+
J6lWZCIJA2MijGLac70m31zkK9MHowG/wekgwjiBemVPEnrT1FQpbcsmJRxD0ig0NxzhkMEDqsQf
B8EIdeU6rbNrtZHdemO3rJhRey04nfJVK5hCc2PiPDPp+BB1RX7mBWVwpziBDj7CCVwEbxhvVCGo
UCYDFN87XItIPCkrijdaJy4ymOs2FBRHhb5ivXQmLoHTxIrlznQJExfJ/X3hRrO1KtBwUKhChy2M
ZhXvIPzcgZXVB8m17xzwl/SdpBtzzN+IOVEr3AUmwkgDYz31mmDZRK3uyW0UNCIwvzogQ24G+8Ep
XZhjhHKK1YAHe8eIp0eXsyq32MXzAGi5GYP4Lm5N7gtpVNlUELnUJJwkJe4ErIGHU23hpYF7gEhi
CaqukjzfBrUdu2skCTWu4yg3PhCzfKxGeopvioCFtsq6+AaDOsVWdVG48Xmk5mbeQETG3LcwyBW6
Tw05oOgDD2pj0b1rmQ7AHbu2+Clnw/pCf8M2bLQlaZ45nm5H8n6MmR2/qVZd47OPOOWYHkxDDhdj
NvoHprLZdyujsGSdJlGot9hbjbemsicixvAyi71dNdStSyeAiWdD91jNTT+HaxpM9FNh6Z7ui1a0
kPxnVRZs1p75pUrhaxQLU79j7LOCXWdgIwU/NBOdwidkrXEgAnhM3BQrUBcY/tmM6Yw0S6QtWTfL
ld8oL1GPT95qC/gFiSfuKsbZxoq0UTZstON429TJyk/RtOMdNiirw5k7EX8sXWqMGedvYSWUXNsp
zmpiD/v7POXTvrWrYlc45rSDFze+ulMw3Yowx6vhpM3LWBbxq+0nJZzzGS+YB1D2LQva+dEsxvGC
6w4SasuxNDX94T4xvXSrUydGTarS287Eq97xs/YubONNYHJDwuBNHYxNexWCDI1rcy2p7YhJjC5F
y2h2wQl6S3GQGWXZuaVytvgoe6lNFIXCs54hb6JSKaAfC5Ov6s+95Guw8uHpcNHlHub3jnUE7FKu
ByD4m9iLmzMGCLGBhjU9l2GOu7TrxhNtsct9fO7XlVDsIWqpIDOhTHMmlyR2TIzFD5akIGvKwQLx
rFv7UiZuuYkKJ//yBrt96IJSAnJzzMc5HOYXZDvcYK43EQtNKhdTyFjmL5rz6atdJOVLWrTdF/tm
8uKazhGYBSnjlJ9NlUc8rBtoKxdG69V7JbPmIc9s8xNroFOsK+n6jxII1zqPdCzWSdY5XMBYU2Bb
JVbC2Gea4Rso+TnMSTutQN/YzzBXoSL1pEY5a2bMCxP3Hi+c+kgio9lGmROQAcDIcaVCGNWrjM0j
WQX9w20Cf1oVlZBwbAxnuk/cnJsqFJXyS8aV+bI8CE/W7M5fkTsM5cYbhH6eK+E+TNm4XN2NHst7
m1H54JgDvyfbOKXmnvluWWFk7Dt7zJ2Nr3VwZ1lud5pYI67BGIc/syjFQqz6cXpN/Vy3q4al+WCp
FIhJYgXWF9QKTuoEIbC+N6lUT3ht0E47AgtrYrrhtc7C/FPV1C7KnnMlEWty0iKmuWBd+jmgQ9Mb
bxwZtqgIczzvxrIFc4kddGXj2kQfFDWELp6Bup44j9iS4yNJ8Po0C6ciT6xrBarW7OaDRs+kxWSK
uguIZSrHcEgicisHPqXXyuYaSl3tY1JmBX2rXfMISSTeKmVVR3LD6mwpHVxDbdvvQZ2nJ+DiwYcx
QLAp8e4mYYfRAcRM8oAzNc3gxKXxCj1domxYuD/SsSacirFFHk0E8BuVeu2trtIIUUv50X3qjP4d
1jIhWR+MjjdCw08fVBMOBxm37SOHcv0U9SEwzgQDSN+H7tn0IvFg0a52ouRT3WiGI6c47TLud0CN
tmk6+vdZPk2HvsAhjTBLq8fQwR5aaTHEdM03rTJ2nNZiZ80gosK+OclnFTXFQ1gl4Vm2vTohFmSf
I63kn8gU4CfREaCUWFb9w2wpYeC2IZ96Oiy2s527W6+KPGIVdfk9DMLh0y+TGcSw5RCQSI20Qrbr
h/qgJlhvqxhgcbUy8y+YInVK1aXrkfVpua1VljFtpNM4R+hBxU0ypBYhjuUdnSzgW+7gEIedp+kY
RX36QHbdYNYgPBoXAbaw33qlX9356OdLQt1ZkJ5DP3walsYgT6FvAE5m6r6s3sm6ezPtIqZbnp3i
6czc/DaIKVjIu3h6qMmZsLPXTf2QF24GGLfwKS/OEhceS8NWxxUS96nqVXpHDCfEHp4Vp8hpSNXb
ViJ/uEgldAjLbhDrwLLiM/75wd9J2Ytn5er4hT2bIDKUhpZUlF/0H7ljOGdNQ9jex2X47EdMl023
Rr7y4LEBH5adcdZxMItj3Df5ExAoC7QK2fHzXBnCPkf5ZL0WpYDUiMxyjOlbKFdOkxenvhmqc1u4
8joKT55sH+J/0AjAQ16Iw7mYh8ucN7whPovuynDb9tXxq+Ir8vr5VQy12muGNcdm9rgdzF5+9YPK
vnFraEor6vfUayvriIzlQBgFSd8Gw8JkRd3GEIfudFClr4VvKvzwvGf7oMo7xBdKuG/8qfPe/Zmx
1hirN4G7Yj+pdNxIw+ZxDmk/8OvSfjISKz1GKD0EtXEv2FjzG/cZ9zcM1RKH7T5C+HjPQzHQQcSy
D76gLoF6mQCf2hkqM3Cw8SBHHZ1UXHRHKDzeVraV2gcBnQCdFVEJnGAMo1Kt/5jkBJE3Tm21Rh1L
372pzn9dTL1DHQjvzkIflIRcRP8zcBpwS6CiAbCorShjkuJW85nHpXcYBh7/rk2dM5WvT+Tz6v3g
9wyX+vK1xmy27+0aF53be6xYSe+I/Wg0BWuTDvVjzGPyWo2CxELQzwfGfT1tp5YZX+Xs9+OJIQDw
0KIr6ZVGy7Hf/KadvsH0petxYlVv8SiT4Wb7CZqOyU1JZB4Ccb0WoXaZByCPgnDqnIZlu9TvcaUG
3kQf4WaSbJ/UrqLdzlGXXpJfgq6/aLsFnV0XhdyLw929hIsCHP8Sg4tFF+5s+hTMX2JxuejG5aIg
43ezDsmiKie443ehiLg4x731NNjHYHGkzXYA0K5xbptMENARg70dshoXpS+Y8uVRdsxMgYCLynFp
vLbcGMq8cyEF3OFrDSDBi+EhWETwdJHD01/KeGuyx66GX4q5Ww2gfRcZvVsEdXMciX5V2ZBujWaR
3TPGkLf1zGERRqyjXpxfEv38S66XU26QTeKAiGBeK4orF22/Yq1jB5uca+kOMtlYHadEemBy3a8C
w/NJOS+TAkCC/h1VWdEl/DVIYHQCU6+fRtLxy6ShUSZ0PiykN/A+GUTYtES/NKpwHljsiAhklYje
+QKLnTUNOUfoX+OMZbDhLiOOMnUYPPE65cafS+8kGQl8+arPWvCuoYu/kvPmMR8yRif61xjFJqUC
GGmZrli/Bi2ZLq2cVXMyjU3XQOlchUwNuL4LdMN1G4YYlLoGWDUsA0eih9jGJzDj5jEnGg7mgDP7
pkRguJ9d3b2DtphKoj5Tftt57rqCDUOSDawn6o/di3uvUfq9SUduaBHiS3bf5JGw0L0qekqdiJa6
FQyvgPlYP2JVFnBhrcNYmlioCh7lQ9BL/zUATgSi2g3wNaUoeRZzZ4y6JIBsgCzEh6j0VrP52jSG
He5bJbyzPw3DuE5kGD8XhpdNDxnW1m5n0yT81WDhLPZlRYptF4gWo75wPbLcmnlldN9aNlcOrSE6
EtgwZzY9sHLsVdOV7wyASuBg47qNZs4arP7nNuoPdZfl5xEP2yvLknNVBdtBnAT+Oe+n9nEkg5dy
mppfhzl0DcZ28UhyCGPwuo4EdTssSXAk/79E8n9ii3RtbqcUPPr4/Pkbyfn0Dz61pTvkdyfIQnX6
b//l5vPHZ/oPnp9/+gN+aya4GnE7WnxHkUBQR7Cw/U0zwT/pWLSJkdK2+RtJSOC3aGK5f6UaClOK
RdsAzv6FpvRbNLEW0JKLBiNwSiJ7Y1j7N0QTbykL+YNLEmcIBk38db98b38w1tm6BUefttFBD262
w37s4xBE2PfXJDarxfiez2fXyL19R9UHY1PHPeFrZ+fuVcu0sZzZOHJvcrKNi5PtxTGC7q7xvemF
QZdvo016eQnfPEt5qofKvxLCbh7cVNgjlXGZJ7B+zKjjqzIMOW+WvRlQmCFgLTRLLdK33uuNkmlW
Yd820rFO+DeGzz6Y8m9llNKgV9tJuS+yvM5WswPGbq37BmjbMCn1gTmbS6dV+OO0n7i0EzPSuq+O
BHYCY0Fz24C9SzOpTomn4gcs/E64xrlZYTLvskfWpBEHQNdTrTTV6l1OaXYZR3My1mMvU2Y1CXGo
HVt/BFHOicR7lUwpl1ULSXjtp617HfMYrqKTWP33xDHGk59k9snswvDKwS2H8hjLR+kk3SuRM+dC
yiK7uhkuQqO1/QNHm3nfixElxVBucNOjdUFv5lpihZzX8NQY3q4n2gAkR3bRd9ql+RwN3cCP1FL1
1Mulw3wuDWV9DaQsyUWH8894yMgzBGFZvc8yte/9bsICGzUJfVCZnYTPrq1Jf3Rd1l4iuHh3pLzA
NaErwHfswqnfpzomrZaE/fCMOGe8EPijtgMajXj2OhP2jq+g/m9jQxOzVZH8lphDxXjLI7suWypI
RhFijsmVwToN+drdZiXLHQe29ibJIziYlVXnB5cLVXO0swqmJZ6z9iOzUwPUOxvMzzALxienL8jA
NnZLqt5rDW/twl2+hbYDMAmpTetN69sQfKqk8e8Zqehqy6AQmxOHFrLpk6GL+HaY3TFeEUco7G3S
YwDYoRG4P+mGCpDRdUUlFjb0ct4qys1M8MhZUqAv4QGabR29cYvmRpvFI+YEZ3R67hLZ1PBm6Gw4
OLnbEfQL6rFbx6Doef966ARriz+I3D2jlatD2rXm3VfhW8bw9itOSnc61VrS0RGo9uAlVWd+L3XP
0YbDvdnvrSyYeaRGXD4wmZlaXIh0mDedD7qLsbj2jlxkmu+dikYCfmWXb0Sc8c+NbIwb04iBkvYd
5ma7mOfkwgakSO+MgXNMhil7rtrQ/jHhr3hH8Q+8Vc2AtdzkMf4cAFjOLhFGamPVyYdjGZGhIy6h
XAbxBqruRuaVJgJZMIhc937Y7SafAcsqmifvp9/XSm7SxseO4moHVMPYug+iC5pjr/qGgUnWjY8U
7Dbf/NppXpMkEndAn+edw5yq2GTRqDxy2H7/sBwoXofacVa1MxTneTYrugTBw2xHL1moXn3QbzPp
t5AniwhXUJlr3gvIBsC1Eo7SxFnTc26mTrRViaJlJyF4TPYpxAtkBtaMZpiTqOXWWzC/4ngHV8JV
W8TB/rs/a8xWZgJDfN1OM7dyDBBXbAoR4ICgKAMg+9O4X6oe9mapxRHIG6Kt5GN8r/10/tEaTai4
SQh0uKw1bjt6c2591DjS/pRCX4esjB/73mCyontlHsWg5oMN3+sae0N/34QSY9PSKghSqsvflvDJ
tp+xvjVBEDzBSchjDFbhvKMXRiN/+iXs91ZwJQSFkXzk8VDcJ7p2AIVx8Ur8cTwCqZp/dECTvPVE
xZ+5T9OCUS80Mj77Li0j8EBDWL6Du0zfXTOUUJks2m/WzujWK9bw9plPZ+xXYgrNe9xdMFK5/E0n
wxmHZjVgS0DC9qhKDGID66VoLPIugU6Kb5CE1FNrY2pihtlBnsXTnXyYhV2+Qdkb/FVV1Yt/sLMR
4W01ywjMWsKMvnXrOYbhJcqXJjGT9Co9XEB8JBaLDsb0amMZuZDnKJnEsCGOYs7gydsFM1JOEPOk
Hiz7WIupwatTlfUtelGAUpH7U7qhXsm/qytXfxujMPqKjLrYlI2In0LEWrQyjYi8AkQFGaUKEnw1
YeFuwaLDwwhzNz6gf9IDZBSQ8O2+gg9hTYE+dUOP2cfpddasddEWd/DF4O+CH0Op84LxMpQV1b8G
bLh9n0XiaJLRJ8HfaXtNQYoz7irLSm6s2jQwNhatRcLAivY9UPNuBIkRYc4uVzVq9c2UlCXh3SwH
yVvZgjydyhJI0GmOGcU6D2M8AOzTHf9XwSt8KAu3ebW0N5ywogmLUUjrLBIcOvOqGES8CSESnPja
OMVrRrYK91vbHFzl7duG5rnVhPKtPQyZrVoSBmnlg2jNfX2KrAX7byZ1RUt5EzgCX9ecsw45xr42
0SbHB2mSP/YEU0jNbsBGjS1G5xqP71yMwDvoSCAS1l7zoOu/bDafPewk62T5AGHqgV4oTGSHGRmB
kW3TPFujYx281HH56mqO0q1n0rwS+8DPaaTyL51pWhTuDB35f9crT2bQZlsUpg4/vQlVzUKwB14T
J+PNbFUtyfNCbPw+SG+1w0K+1BFhkzLHsJjWsGUMJAxlBuk66g1z3ySTn1AWUKXHOSYNKBNbn0Ye
tRvPa9Fc/Ng+d1HnVViXuuYN6q6PqSX3vtOSK3MIOHZ1b2fau4IxY5jStnSU2mWAl2o05A80WrkJ
GjN/qBIfrUrTSrzlNmofhNOWzyLH9Y9gNzPSrjDSktNaUDyUyq5iFYqV6SbuXY6j8TsYRgIhNV6v
tarbckl1OOu5rfAjYWH6PoZmeVGERW/zOoH7MqRJeNc4jbu1GEQxL8IkCqa2tFrOXNL9yGYLckJB
w+GzsmMy7ES6wp9BVEVkSgwgOF3pZmud8S0Es9OabKBYsN97e3K3bg8UwLAt6gEqEYTvLh0HOFLj
fvwwVGR8pJ1dx9CdE8IseOj2kVe6VCsp6+SPQ/rF660vbthM3/y5i0FYl1PD8SwG0UKzgdc+cZfL
qlXSDA7X7jD25AqgzvTghbW3wyA8vMy2IjtT5dkn1e8cNRiXDUyQmmBoV0Hd5vVaVla456Mabsww
bFkd4qB+iJHaK44vKk1W7axZqXAetxqkTlTHJzcxumLftQx9jmXdipBUPQ72nTYj864pS/tVugM0
XdmIdNqBGOwBLdGGaa1ifCznOHTBGhX22LQbYpw17EKaqK11JysKLYJpqN+HNq6TTR1TkrmOZx3c
xhClgHy0isC5mfszjrG4/Qwjl01tcDzzmvYu7z/IBxtKWZZ0iFuZfrHtqLqWlW7SVc196JpMtr/p
zR5RWAr3HJPbvzfHTvyMqVXSJIOaXG7Zd1GFXUnpARim2nnE/RBj05s4EqyGuoly8HAz7QmmwRXm
QjC5JzfZO/bB1bIoQPvYJcFTUMYkVNkqlqJq9CY85VkYrke/cPcKBeyqtSyrzewP3rwqfG1/JZnh
w6siCfvsO8aE9c8QPzxPdx0S+sxOzrywpXNhZP64qrpqLPG0J7i+mzZa0/4UfsmwiK/tDLd58ksz
3nHGxJRle/F2dov6oaNHl6t5zRKVw4feTZzako09Av8D+O+xTnWpt1KqCT79oZJXkXPE2HLq9Y11
nfmO3o6lGhfevTa+oE7NnNG6+uijd+DAJWW6M4J83NauxdfEZl/G7jZCnaoSUXxaflXKS9IzlaSM
jDxsKcdLITTer7wsBgjdZQ2Rj6dKrglWRBfkYPtopR4of5FhGkdXBdeve1nBqbIW4KPLjwyfKRHl
NZm1Vb6Ug+s1m8oP9FehY/hDlibCCspHbRBdAdkmtCRjvuBDrkcDx1XdbikXg4UVCE6AtC0wawsp
QdliqOJZLOPUWTkiLD8jbdTndJwZ5ozmPB+MFrfgZMOC2INodMdb8ncGsJCen+JFiPWh66Vcybhz
yj1x2uAEvKH+PmmfQ/MMuerKzk2jigWR/gzSOz+WrUjLFRh8ay/wEkMVgU+JrX/chjWV80oyXyJD
7s5HO8HLD76y2/oF46puajrKr1v7hPFfvHEOoPyaEdQO+AvEQafVBVOCYA5WPnwo8hR0GI1J2oHi
7YiWZZam6Dggdr7CHRU/MKTWW7OksWPleL5zFpnkOOWkwVaq4BvnVH8v+E5ui65ttqAWww9ZZ+23
iboHwN6xGWzCSaYfYVO4D+FsNii2dpachoJmutnIMqBa7fgEXfeC+QrwkaA/xolrvpdydPEmKGc8
eVU/HOxSh2cEv5T3XcUgNMGQE0mMnX2RCvla1TMTkyIu1HJCZ7AfCYFVyf2b+zBMOM2msfjmsMQc
Yo6lwE7GpLmlbw9QfA80s6t7IKHSiJOW+eOsj5RwcIgWWVw8wQnzdhzh1EUBnH+0Z/RcULXGpWjw
hA7Yu7A0Jap/qowyHFasvPKoQs/bumMfPfHVCyihkKR8vKBjyEhNCqtL12Nx1zkoIlz70QlnuroQ
s1e0GngebFxLifTWMazuEGFEu4vlPHqrIE9ovdBVOG0cAaqLNIh7DLJwYibdJe0j7r34udNdf/GN
0PnOd9e8mFHt/6xIJ+xg6QdU4MmJXIUx2OarbAtO9WaaHLGoJ7euENg8RY+WkbWsV9jaJWQhLwNs
nnfRpsuzjBh/hbpIE8RRlqrcBNoez4bml01dfggab05upQ0LKlOYir3WbHURf1qld0JgfY8FmfVA
0oTURh2c5KkrJcNGiiZ2VZrQW2fJ8baA1r5U+w4EHMGx5k9mZhLPtvvkUtjyy+UyyK5cpU2zGZmL
3Uz26JJatettn6bMX/RoDy+KTZnPcq4Kb0e1Y/sjtcdp/V+5nOsyyC19sCaHE42ux3EjVEJV1DxF
ILbYUrqN9hPR/L9JYP8n8lm5v7KiOLulbToUmRCN/lci4ubzR/35FxxXf1l4k/VfDp/9Tx3/5b/z
L/6XCex/+kf8DmNbACldCbrGdujZ4GX8h8y4hLFNMtWu5WLR+mXa+rs5izC2jfLo8x942Qig/6Ez
SvFX7FxAEE1+neVH/lsAdvPPbed/C/JKHmpK1KQD4uwfc7Rcl4aEQid7GwzP3VTc+k/mjtJ7i6km
c6u1t8SMd6K5Ws8gcv0OitBzU8W7OHsN6PuM0e283iY2lH1woqfcDGRPs6Kg2/WYjnGoCBoKi7xv
04h6Q4kpdMrXbvjgKLQ10PDABj5apcGpeLon9LOzjBNE2prk2yFQT728C39EtI3mzs2EpSkfboua
YlD1hVhFpQY5DMbQpiLjB3ASuPwdy+NmIleno2mfLUdBhdQzMhDmesPXp96BEw+Xk/HdSK+MD9U5
H77h2npuWvGQLZ0eHPU8xgIUaTSYsOz8e6vvldezwuDn5uKEMYfVU3Mmron2uvJCkuYx1AS8rHon
JnlYxp4pZmic1TfWCFiC4+V90zEhr8J6A9sWjUNcNBbqsUzYFK3ip4NBZ51X9ruAdcHHtO1p7MEG
iw4y7Owm3U2w8Wto0omqafpobq24vbTKApVnfU9ddSGlkhDQmKjJMSXoiYk5ybyTmb8N4cBgBbOZ
oStuHzj6Q+Jl8SXMaEiu/AY7kUfzY4Nxbrz9w9fmn2bEFyzeHwOsf8toC+GaoAgovf7Ts5X2oiFM
SBXVOGfPdWtAFrOby9g7B1bSrSNBiGhXndo03+vy3snGvWPaZ9J13WYSVr/KGmDlAbXqS/NVagjG
vFRzJuQsusC6WH0B5sJ5tGynJlLJIYoJfZWfRWfv6zI/Y7EymRGzca3KeH5wdHTAorutTf+u5SMk
1PVl187VSd8N3mYGqWsorLuQ2lXaOdacWzfVsABbmhvPdzdyBJpfGwdsdpfaqXe9ZV8m4d8oO7wd
sY77Y7bPovYpKUl+mQrOxsk2PxQKJLCuEzOhO1GgOxlFWK1cFwnC56nEo7sre7LrMPUrqgpBrTqZ
9y1rp4PW4hAOC+aNpud12s0380gNjhd8TqWzKyDeZ/xAqnSWq585nVguXqUM75L8Sdb1bY0vuzGH
p3z8mBNnPJdyKkCcme57FVhwyyHPMJHfRqUJeIRHZFD2zlT+AaX3hxh5jX023YeQA2n9K3APcR48
VwNTATV//OvHRP4JiftrdSa7Z2FlkwIkxUJS+sPEYy6ER5o0h7FcpD9D0OcBb19Qmx8V96y5r08Y
KK5VkN7NXX8fNjXC6HgXE18x06batZULLdRPNklTHpnX3keSHuO4vTaeD+SwZfod9V+lk/9vnm5G
RH96ukFroGEKFnB+BVN4fyoEa7ikMR0B3V+5tYtdASAZcagZA9nYYeCqNYZD0nR7nN+bMlT01rBI
VbR/Smw3CCtVhBzoGqj4dTXghYfmeUbLg1IUA0hKwHoriLNx/8jCurf0eImT7rHkpjVbNGTX8kfo
AKgG6h1YXruhIZj7ccxUp1bUgI+ex9LYyy9KUBlHtK1xgw7Y8jCSXNTlcI36/oIj7lyqgGI2ld9G
uFZ3SvkflTubKyvtn5Sp73t8TKvOKb+w/Edbxyqfhtb48iOLJtlYfSkDpLBK3jK0v7pv9M4xv0oU
oQiAk5/zCsLqWGP2mAkLE5F7wd+6pwWHzon62xAZUJC9VZENW7jGOD+gwUZr7i+veckdOY4oBRm3
mdPeCiO+NC27RylwIXj+wTDJM0Vd95rU7TPWuUWpeZvT6jmMx/tO5vOmXy4tBmXXSbWuQnFwqAJx
ouEgcE3kbfI9EOWjjtpTJ8n0oWLWiQMiyLuEuThCt7uQDdlwAHzMTMl9JVObTvhb3/Rp9nV2YSR2
fPQ3woQB0Q/sMvErMvQBbXDbuqSu0JKLmzaYt3Bgd0QZ19rFKda8JfPjAg1JY28TdWe/TI9JHrzW
vIX7iUsOswnyqHm299J5Gy13+tqCoEs/19iqSyfsDcGl94o2hhXBpvwgARWuZ8tGUFFu+5pk7kMB
AZFTZ0XolGGMX/YXLswQuuweI9MXSHo8G/6rjWoaGMUPCBc7kAH5ArC4yfkacuEqLm2VHuTMcKEo
H7NBXdMwOdsSYPtMOqSaHWDt5JMDo934RbdrkmEThE3OzvSWyAF2+njIughMBmOKFWreM11tb2Hj
3Iy19aJbj2mJenPm6mnMunbLU32sAvdrltY56CK1pfsQ5pIZnieySLhvpmkDX0tvHXu+SUN2LVXc
ZxXHC7cWnzYFy1ui/tfCmj7TCvhS2rVvaKqwjom0rOl3u9R2+9zP3qmnKIsgO/J7ekyl86JcEO6t
OZITTp6IJ711sjuLcfyWUQtBTTG10No6GANWLCEuFLZsUid4ycjWeXW6rm3/qjrjNkzfZ673FEqu
fSJ+TR8/0HSy5ZT+wij0a46JKvOOjaOPd8B6lVW8L9r5CKXxGhjf+tT78mfxMTLBC+W4Mzv/e2LL
TZy5GOAd5xr4PzMuja6/tY272rsrzTva3vPuCkzqUhsZVC38Eta1n+ASJN5zNjaYg/EVze0aHNyq
J64sk59pDOB14P7TvLn+04CYTCaQ+rgvZoUbU7534f9g7tyW00aCMPwqqVzs1aLS+VBbSdXaEBMn
bGyH3WSvXDIoIE7CkjAWT7/f6OAgLBwvwwW6M5Jbo56Znp6ev//+6ozmF7YbUzHsWiTEj5L1TbTS
GS6t3kQlayYUJ0efVWDrTibqx2fdELap2PlgmfMOdWpFSi3rwxdtPfCsJVmTxvcUygc7Y15P9e+U
k58/rsmiuVZFyhe28tv9rT6lgK7VHoV360RUKPnxOInO50vv7tEwZh+8h+SOsgDdMB51AdQMH9ag
LDhYY2sXebBvc3Rpees2B75nqRdRz5AI61mLDLK2O5r/E1Jyu/OoZ+awFVN52G25bU5R3A9riB9h
LOiPR/dOezPR+t609W+UZd+i6aYvSqJsblOqSkAxfG5QU+UjIcZZh/j3ouPYbLoe1otBtNpcuBun
y9mROGwEkuXiTpFoROSUEkCxShk2wDDzydpPQSWttBhY7i00synoddu5mz88XHrrcUBBwD78C8vz
+4nenUzgE41AjJ4B2Zx2bh2KTZAV0J48EH/nEGypERffmJ8hpvwxVYmKaBej1L40SQfQorg3XS+x
vmZvfG9B0JdekPuvU/jZIHHAzCCJX1utNuf9IWQUces8Mb0U6HgrO/t9vGGn66xw05aWdzXVRXEc
dwUsbP6dxB/YzCIAlqPk9sYYa5foJuwAWCaZaQm3TeQ4cHYsKM+htlxeQtXf3DsQ3DKjICq9yCRH
SgyiZRaHINh2/nzfnBwkQU9Tvl3gRzo5DOV6FcTZTQABYfly2ibuXkXhIu1Hhz1UwT+aBZXAlaIs
AgNmkYoWUBp1UeOsEVTTNUqwvEl5e1+SMPPTMF0NwcTo4FIscC6aYL0UF044TMOj8rbj5dxeJA1R
3FRcBcBmS0P7dPDy5xXKfPmZ2gf4w3kIJzQFPsJBuq0Cx1NJZGXX/Bo17EipqcHmvIB9CD6muIgB
bKtBU+D1Vm1Ng/VHXOQo8b4TUoPh6dI6sBSbDT4kV2Vf13Xgchu6UkILxYtO6OM1SsNJDgDNUhzL
sjQyUIseRuD2APAUENkEiDziv+Iq5t0J6YAqfjZwM6lZoGmKqtkaVft2rIALE5aj6uxoTm3cQxGo
F5OxWDKerOlzG7h38mueYhJNAOLqNU5+G0ov1wNiXXS9YAU+rcmvqUQvobmT7H7dVSi2SLVF227U
g6Ng/0zwjVqhiJMzgqUeXrkm7h0PBuFVHZAm+OVGPdgKhSktzSEcml9ELE5sPNi64J2TswWm4miq
qZt7VkQmBasFa0XpOJycQSSW7cpaBt2jvJOrgfOtrwa2YpiqDmDdLQbI6c0EgT6WHAG6Ac7ZZZiT
5Z1fdX/AcckQpySWYZTm4PRGgK2RWM4IlVQExI1oQNC+7yyLnkJA0qWESrkycPu0DAEIGFX267GG
rgnhL65xfRJYCv6Q6QBnL8zg6X0952qyX6/bSs5KYGvlxmBHCQbKgXvTJrSXXyfnGxgcBhY9c7iD
hBJIsYDcGdewwRK4qgILhNhGnupaQBaHJuscYw5d8jaoa928PYJjAz4tHrAKHf0Pr+AV24gi6EHc
Adq12TCPOIRB0hSY2PdAtdl+fr/caH8cvnsLmPIpLyV/UAQgincHTxk572ueU74L3rpZ7Yq3/738
wOevbmxU9WM3DGI/HowpdEi4IiubWeTycN4+5hz+KvaHQTLeDggUm8GfDXr3ttbcrbXgRflJ4s+3
xYqMm+rvIipziNizEMKWSoxQeLFvl21t148zf+FvCy7dH2nJ4dwfUG6lUdMQa7PnkH3FpQ+375vf
/Pnyjzef/ATuspqGcDHFblv2LZ/8eEHIblpXUuEoS8tmnM52BJsiYUxW8Gd/moz94ToIlpWwfJaK
5LLqh8MHY88fjrPmOVS4j7LN/zIMaX7VUNFynbPQI3Tm1Wq4GoyDOM5qwm1DENHLtvpqtZj4d5Wc
vNWFGyUr+Maf+ABX/VoIV4B/jqCRr+F0GtYMFgfmIlwj2+i+Pw9nYJ2Gq0pWbraKaJOs8L/TFAhV
gxEvvRZZ+d+CJH1zFiwoDFxrfeEOyErv+RhzDFYa18Z4GZKSlX6xmiC9OdYtLTuqtVjE0GFxq1R0
uEVhVX6qQvJXOIju6N2PiSjKnFTCxeghbkCFkSOM+j+hxti/PAFw1nJUkay6euEmiuvuAKJVgkRs
/GWF9+H/gHC+EiT0Uwo/wuxtRis+excIw+q3wzv/F/W3n9zHwxyynqDUWNU9gzzsKXK+ZfvgVyXl
JNveDmbjsGpl2cFlwFa25Xsxp2Us9Ajr4bngFwyflcsoYs5HGDevKcgh2QH5OkPuPx9S64aSKPEI
vtQviRglv6AfYEVHuz7+zwCX7Dh6LTeC5Gc026ND0NMvNqRpv/l0XPt8F1qdRjf9W32LLZ4YzAI/
fv8fAAAA//8=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2.png"/><Relationship Id="rId7" Type="http://schemas.openxmlformats.org/officeDocument/2006/relationships/chart" Target="../charts/chart7.xml"/><Relationship Id="rId12" Type="http://schemas.microsoft.com/office/2014/relationships/chartEx" Target="../charts/chartEx4.xml"/><Relationship Id="rId2" Type="http://schemas.openxmlformats.org/officeDocument/2006/relationships/hyperlink" Target="#'Sales Data'!A1"/><Relationship Id="rId1" Type="http://schemas.openxmlformats.org/officeDocument/2006/relationships/image" Target="../media/image1.png"/><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image" Target="../media/image3.jpeg"/><Relationship Id="rId10" Type="http://schemas.microsoft.com/office/2014/relationships/chartEx" Target="../charts/chartEx3.xml"/><Relationship Id="rId4" Type="http://schemas.openxmlformats.org/officeDocument/2006/relationships/hyperlink" Target="#pivot!A1"/><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0</xdr:col>
      <xdr:colOff>84667</xdr:colOff>
      <xdr:row>0</xdr:row>
      <xdr:rowOff>0</xdr:rowOff>
    </xdr:from>
    <xdr:ext cx="24581556" cy="1671690"/>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02C6E3D2-C546-3518-E272-2BA8FB0C756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4667" y="0"/>
              <a:ext cx="24581556" cy="1671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54430</xdr:colOff>
      <xdr:row>23</xdr:row>
      <xdr:rowOff>18141</xdr:rowOff>
    </xdr:from>
    <xdr:ext cx="1378856" cy="308429"/>
    <xdr:sp macro="" textlink="">
      <xdr:nvSpPr>
        <xdr:cNvPr id="3" name="TextBox 2">
          <a:extLst>
            <a:ext uri="{FF2B5EF4-FFF2-40B4-BE49-F238E27FC236}">
              <a16:creationId xmlns:a16="http://schemas.microsoft.com/office/drawing/2014/main" id="{E371C9A9-7977-804D-3E44-FC5930F46FA9}"/>
            </a:ext>
          </a:extLst>
        </xdr:cNvPr>
        <xdr:cNvSpPr txBox="1"/>
      </xdr:nvSpPr>
      <xdr:spPr>
        <a:xfrm flipV="1">
          <a:off x="54430" y="3991427"/>
          <a:ext cx="1378856" cy="308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oneCellAnchor>
    <xdr:from>
      <xdr:col>0</xdr:col>
      <xdr:colOff>108857</xdr:colOff>
      <xdr:row>19</xdr:row>
      <xdr:rowOff>154215</xdr:rowOff>
    </xdr:from>
    <xdr:ext cx="961572" cy="408214"/>
    <xdr:sp macro="" textlink="">
      <xdr:nvSpPr>
        <xdr:cNvPr id="4" name="TextBox 3">
          <a:extLst>
            <a:ext uri="{FF2B5EF4-FFF2-40B4-BE49-F238E27FC236}">
              <a16:creationId xmlns:a16="http://schemas.microsoft.com/office/drawing/2014/main" id="{8524C83C-BE22-178E-441E-22464293E273}"/>
            </a:ext>
          </a:extLst>
        </xdr:cNvPr>
        <xdr:cNvSpPr txBox="1"/>
      </xdr:nvSpPr>
      <xdr:spPr>
        <a:xfrm>
          <a:off x="108857" y="3755572"/>
          <a:ext cx="961572" cy="4082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twoCellAnchor>
    <xdr:from>
      <xdr:col>0</xdr:col>
      <xdr:colOff>0</xdr:colOff>
      <xdr:row>21</xdr:row>
      <xdr:rowOff>9071</xdr:rowOff>
    </xdr:from>
    <xdr:to>
      <xdr:col>1</xdr:col>
      <xdr:colOff>9071</xdr:colOff>
      <xdr:row>23</xdr:row>
      <xdr:rowOff>0</xdr:rowOff>
    </xdr:to>
    <xdr:sp macro="" textlink="$B$11">
      <xdr:nvSpPr>
        <xdr:cNvPr id="6" name="TextBox 5">
          <a:extLst>
            <a:ext uri="{FF2B5EF4-FFF2-40B4-BE49-F238E27FC236}">
              <a16:creationId xmlns:a16="http://schemas.microsoft.com/office/drawing/2014/main" id="{4B4D6DEB-44A2-0454-20E5-A5DDB5E300FD}"/>
            </a:ext>
          </a:extLst>
        </xdr:cNvPr>
        <xdr:cNvSpPr txBox="1"/>
      </xdr:nvSpPr>
      <xdr:spPr>
        <a:xfrm>
          <a:off x="0" y="3791857"/>
          <a:ext cx="743857" cy="3628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5591AD-2895-4334-80BE-090EF5E61BE2}" type="TxLink">
            <a:rPr lang="en-US" sz="1100" b="0" i="0" u="none" strike="noStrike">
              <a:solidFill>
                <a:srgbClr val="000000"/>
              </a:solidFill>
              <a:latin typeface="Calibri"/>
              <a:ea typeface="Calibri"/>
              <a:cs typeface="Calibri"/>
            </a:rPr>
            <a:pPr/>
            <a:t>9426771</a:t>
          </a:fld>
          <a:endParaRPr lang="en-IN" sz="1100"/>
        </a:p>
      </xdr:txBody>
    </xdr:sp>
    <xdr:clientData/>
  </xdr:twoCellAnchor>
  <xdr:twoCellAnchor>
    <xdr:from>
      <xdr:col>0</xdr:col>
      <xdr:colOff>680358</xdr:colOff>
      <xdr:row>18</xdr:row>
      <xdr:rowOff>136072</xdr:rowOff>
    </xdr:from>
    <xdr:to>
      <xdr:col>2</xdr:col>
      <xdr:colOff>390071</xdr:colOff>
      <xdr:row>27</xdr:row>
      <xdr:rowOff>136071</xdr:rowOff>
    </xdr:to>
    <xdr:graphicFrame macro="">
      <xdr:nvGraphicFramePr>
        <xdr:cNvPr id="7" name="Chart 6">
          <a:extLst>
            <a:ext uri="{FF2B5EF4-FFF2-40B4-BE49-F238E27FC236}">
              <a16:creationId xmlns:a16="http://schemas.microsoft.com/office/drawing/2014/main" id="{65B66834-5B4C-B914-0763-5EAF09C806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9070</xdr:colOff>
      <xdr:row>21</xdr:row>
      <xdr:rowOff>2431</xdr:rowOff>
    </xdr:from>
    <xdr:to>
      <xdr:col>3</xdr:col>
      <xdr:colOff>834572</xdr:colOff>
      <xdr:row>22</xdr:row>
      <xdr:rowOff>169927</xdr:rowOff>
    </xdr:to>
    <xdr:sp macro="" textlink="$E$11">
      <xdr:nvSpPr>
        <xdr:cNvPr id="8" name="TextBox 7">
          <a:extLst>
            <a:ext uri="{FF2B5EF4-FFF2-40B4-BE49-F238E27FC236}">
              <a16:creationId xmlns:a16="http://schemas.microsoft.com/office/drawing/2014/main" id="{E1EA248D-EF6D-1CFC-B72E-1BA518A4DAC9}"/>
            </a:ext>
          </a:extLst>
        </xdr:cNvPr>
        <xdr:cNvSpPr txBox="1"/>
      </xdr:nvSpPr>
      <xdr:spPr>
        <a:xfrm flipH="1">
          <a:off x="2422070" y="3785217"/>
          <a:ext cx="825502" cy="348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973C1A-116E-4DFF-B5D8-294958EF0C86}" type="TxLink">
            <a:rPr lang="en-US" sz="1100" b="0" i="0" u="none" strike="noStrike">
              <a:solidFill>
                <a:srgbClr val="000000"/>
              </a:solidFill>
              <a:latin typeface="Calibri"/>
              <a:ea typeface="Calibri"/>
              <a:cs typeface="Calibri"/>
            </a:rPr>
            <a:pPr/>
            <a:t>5486916</a:t>
          </a:fld>
          <a:endParaRPr lang="en-IN" sz="1100"/>
        </a:p>
      </xdr:txBody>
    </xdr:sp>
    <xdr:clientData/>
  </xdr:twoCellAnchor>
  <xdr:twoCellAnchor>
    <xdr:from>
      <xdr:col>4</xdr:col>
      <xdr:colOff>2</xdr:colOff>
      <xdr:row>19</xdr:row>
      <xdr:rowOff>0</xdr:rowOff>
    </xdr:from>
    <xdr:to>
      <xdr:col>5</xdr:col>
      <xdr:colOff>335644</xdr:colOff>
      <xdr:row>27</xdr:row>
      <xdr:rowOff>90714</xdr:rowOff>
    </xdr:to>
    <xdr:graphicFrame macro="">
      <xdr:nvGraphicFramePr>
        <xdr:cNvPr id="11" name="Chart 10">
          <a:extLst>
            <a:ext uri="{FF2B5EF4-FFF2-40B4-BE49-F238E27FC236}">
              <a16:creationId xmlns:a16="http://schemas.microsoft.com/office/drawing/2014/main" id="{C34CA68D-C807-A8B7-CA3B-D4C4F9EFE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9070</xdr:colOff>
      <xdr:row>21</xdr:row>
      <xdr:rowOff>2431</xdr:rowOff>
    </xdr:from>
    <xdr:to>
      <xdr:col>8</xdr:col>
      <xdr:colOff>18143</xdr:colOff>
      <xdr:row>22</xdr:row>
      <xdr:rowOff>169927</xdr:rowOff>
    </xdr:to>
    <xdr:sp macro="" textlink="$I$11">
      <xdr:nvSpPr>
        <xdr:cNvPr id="5" name="TextBox 4">
          <a:extLst>
            <a:ext uri="{FF2B5EF4-FFF2-40B4-BE49-F238E27FC236}">
              <a16:creationId xmlns:a16="http://schemas.microsoft.com/office/drawing/2014/main" id="{E50DC0C4-4F38-9E2B-3D57-3FE91081CD1A}"/>
            </a:ext>
          </a:extLst>
        </xdr:cNvPr>
        <xdr:cNvSpPr txBox="1"/>
      </xdr:nvSpPr>
      <xdr:spPr>
        <a:xfrm flipH="1">
          <a:off x="6567713" y="3785217"/>
          <a:ext cx="879930" cy="348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B00C19-AF94-4FB2-8FFC-F4B634E836AB}" type="TxLink">
            <a:rPr lang="en-US" sz="1100" b="0" i="0" u="none" strike="noStrike">
              <a:solidFill>
                <a:srgbClr val="000000"/>
              </a:solidFill>
              <a:latin typeface="Calibri"/>
              <a:ea typeface="Calibri"/>
              <a:cs typeface="Calibri"/>
            </a:rPr>
            <a:pPr/>
            <a:t>3939855</a:t>
          </a:fld>
          <a:endParaRPr lang="en-US" sz="1100" b="0" i="0" u="none" strike="noStrike">
            <a:solidFill>
              <a:srgbClr val="000000"/>
            </a:solidFill>
            <a:latin typeface="Calibri"/>
            <a:ea typeface="Calibri"/>
            <a:cs typeface="Calibri"/>
          </a:endParaRPr>
        </a:p>
      </xdr:txBody>
    </xdr:sp>
    <xdr:clientData/>
  </xdr:twoCellAnchor>
  <xdr:twoCellAnchor>
    <xdr:from>
      <xdr:col>8</xdr:col>
      <xdr:colOff>18144</xdr:colOff>
      <xdr:row>19</xdr:row>
      <xdr:rowOff>20864</xdr:rowOff>
    </xdr:from>
    <xdr:to>
      <xdr:col>9</xdr:col>
      <xdr:colOff>698500</xdr:colOff>
      <xdr:row>27</xdr:row>
      <xdr:rowOff>81642</xdr:rowOff>
    </xdr:to>
    <xdr:graphicFrame macro="">
      <xdr:nvGraphicFramePr>
        <xdr:cNvPr id="9" name="Chart 8">
          <a:extLst>
            <a:ext uri="{FF2B5EF4-FFF2-40B4-BE49-F238E27FC236}">
              <a16:creationId xmlns:a16="http://schemas.microsoft.com/office/drawing/2014/main" id="{81577F03-4862-B3D4-289C-6AE382469A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17518</xdr:colOff>
      <xdr:row>17</xdr:row>
      <xdr:rowOff>173181</xdr:rowOff>
    </xdr:from>
    <xdr:to>
      <xdr:col>13</xdr:col>
      <xdr:colOff>825500</xdr:colOff>
      <xdr:row>31</xdr:row>
      <xdr:rowOff>164522</xdr:rowOff>
    </xdr:to>
    <xdr:graphicFrame macro="">
      <xdr:nvGraphicFramePr>
        <xdr:cNvPr id="12" name="Chart 11">
          <a:extLst>
            <a:ext uri="{FF2B5EF4-FFF2-40B4-BE49-F238E27FC236}">
              <a16:creationId xmlns:a16="http://schemas.microsoft.com/office/drawing/2014/main" id="{2A7A1095-7D54-9358-A4DE-B311F7CC09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1847590</xdr:colOff>
      <xdr:row>67</xdr:row>
      <xdr:rowOff>5688</xdr:rowOff>
    </xdr:from>
    <xdr:to>
      <xdr:col>17</xdr:col>
      <xdr:colOff>204718</xdr:colOff>
      <xdr:row>78</xdr:row>
      <xdr:rowOff>170598</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11596B6F-1EF8-80A8-F704-D2B21D216F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311630" y="12235788"/>
              <a:ext cx="4521708" cy="21765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364785</xdr:colOff>
      <xdr:row>65</xdr:row>
      <xdr:rowOff>154023</xdr:rowOff>
    </xdr:from>
    <xdr:to>
      <xdr:col>21</xdr:col>
      <xdr:colOff>762000</xdr:colOff>
      <xdr:row>85</xdr:row>
      <xdr:rowOff>68751</xdr:rowOff>
    </xdr:to>
    <xdr:graphicFrame macro="">
      <xdr:nvGraphicFramePr>
        <xdr:cNvPr id="16" name="Chart 15">
          <a:extLst>
            <a:ext uri="{FF2B5EF4-FFF2-40B4-BE49-F238E27FC236}">
              <a16:creationId xmlns:a16="http://schemas.microsoft.com/office/drawing/2014/main" id="{71E186DE-9852-E838-C430-7461BADAF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311020</xdr:colOff>
      <xdr:row>48</xdr:row>
      <xdr:rowOff>101600</xdr:rowOff>
    </xdr:from>
    <xdr:to>
      <xdr:col>24</xdr:col>
      <xdr:colOff>373223</xdr:colOff>
      <xdr:row>84</xdr:row>
      <xdr:rowOff>31102</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023382CB-74A2-F98B-BD1E-DB1464720D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7882740" y="8856980"/>
              <a:ext cx="4718023" cy="65131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7469</xdr:colOff>
      <xdr:row>0</xdr:row>
      <xdr:rowOff>11207</xdr:rowOff>
    </xdr:from>
    <xdr:to>
      <xdr:col>19</xdr:col>
      <xdr:colOff>596348</xdr:colOff>
      <xdr:row>4</xdr:row>
      <xdr:rowOff>3735</xdr:rowOff>
    </xdr:to>
    <xdr:sp macro="" textlink="">
      <xdr:nvSpPr>
        <xdr:cNvPr id="2" name="TextBox 1">
          <a:extLst>
            <a:ext uri="{FF2B5EF4-FFF2-40B4-BE49-F238E27FC236}">
              <a16:creationId xmlns:a16="http://schemas.microsoft.com/office/drawing/2014/main" id="{4BFDE069-9B85-A18D-B1CE-FE0AFE6AEC61}"/>
            </a:ext>
          </a:extLst>
        </xdr:cNvPr>
        <xdr:cNvSpPr txBox="1"/>
      </xdr:nvSpPr>
      <xdr:spPr>
        <a:xfrm>
          <a:off x="7469" y="11207"/>
          <a:ext cx="12129314" cy="743485"/>
        </a:xfrm>
        <a:prstGeom prst="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endParaRPr lang="en-IN" sz="1100">
            <a:solidFill>
              <a:schemeClr val="accent3"/>
            </a:solidFill>
          </a:endParaRPr>
        </a:p>
      </xdr:txBody>
    </xdr:sp>
    <xdr:clientData/>
  </xdr:twoCellAnchor>
  <xdr:twoCellAnchor>
    <xdr:from>
      <xdr:col>5</xdr:col>
      <xdr:colOff>66260</xdr:colOff>
      <xdr:row>0</xdr:row>
      <xdr:rowOff>68770</xdr:rowOff>
    </xdr:from>
    <xdr:to>
      <xdr:col>19</xdr:col>
      <xdr:colOff>452782</xdr:colOff>
      <xdr:row>3</xdr:row>
      <xdr:rowOff>103406</xdr:rowOff>
    </xdr:to>
    <xdr:sp macro="" textlink="">
      <xdr:nvSpPr>
        <xdr:cNvPr id="5" name="Rectangle 4">
          <a:extLst>
            <a:ext uri="{FF2B5EF4-FFF2-40B4-BE49-F238E27FC236}">
              <a16:creationId xmlns:a16="http://schemas.microsoft.com/office/drawing/2014/main" id="{3F427715-A296-14CF-ADDA-A8DABB5D3E00}"/>
            </a:ext>
          </a:extLst>
        </xdr:cNvPr>
        <xdr:cNvSpPr/>
      </xdr:nvSpPr>
      <xdr:spPr>
        <a:xfrm>
          <a:off x="3103217" y="68770"/>
          <a:ext cx="8890000" cy="597853"/>
        </a:xfrm>
        <a:prstGeom prst="rect">
          <a:avLst/>
        </a:prstGeom>
        <a:solidFill>
          <a:schemeClr val="accent1"/>
        </a:solid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marL="3657600" lvl="8" indent="-3657600" algn="l"/>
          <a:r>
            <a:rPr lang="en-IN" sz="2400" b="0" i="0" u="none">
              <a:ln>
                <a:solidFill>
                  <a:schemeClr val="bg1"/>
                </a:solidFill>
              </a:ln>
              <a:solidFill>
                <a:schemeClr val="bg1"/>
              </a:solidFill>
              <a:latin typeface="+mn-lt"/>
              <a:ea typeface="ADLaM Display" panose="020F0502020204030204" pitchFamily="2" charset="0"/>
              <a:cs typeface="ADLaM Display" panose="020F0502020204030204" pitchFamily="2" charset="0"/>
            </a:rPr>
            <a:t>     </a:t>
          </a:r>
          <a:r>
            <a:rPr lang="en-IN" sz="2800" b="1" i="0" u="none">
              <a:ln>
                <a:solidFill>
                  <a:schemeClr val="bg1"/>
                </a:solidFill>
              </a:ln>
              <a:solidFill>
                <a:schemeClr val="bg1"/>
              </a:solidFill>
              <a:latin typeface="+mn-lt"/>
              <a:ea typeface="ADLaM Display" panose="020F0502020204030204" pitchFamily="2" charset="0"/>
              <a:cs typeface="ADLaM Display" panose="020F0502020204030204" pitchFamily="2" charset="0"/>
            </a:rPr>
            <a:t>Sales</a:t>
          </a:r>
          <a:r>
            <a:rPr lang="en-IN" sz="2800" b="1" i="0" u="none" baseline="0">
              <a:ln>
                <a:solidFill>
                  <a:schemeClr val="bg1"/>
                </a:solidFill>
              </a:ln>
              <a:solidFill>
                <a:schemeClr val="bg1"/>
              </a:solidFill>
              <a:latin typeface="+mn-lt"/>
              <a:ea typeface="ADLaM Display" panose="020F0502020204030204" pitchFamily="2" charset="0"/>
              <a:cs typeface="ADLaM Display" panose="020F0502020204030204" pitchFamily="2" charset="0"/>
            </a:rPr>
            <a:t> Dashboard (2025 - 2026)</a:t>
          </a:r>
          <a:endParaRPr lang="en-IN" sz="2800" b="1" i="0" u="none">
            <a:ln>
              <a:solidFill>
                <a:schemeClr val="bg1"/>
              </a:solidFill>
            </a:ln>
            <a:solidFill>
              <a:schemeClr val="bg1"/>
            </a:solidFill>
            <a:latin typeface="+mn-lt"/>
            <a:ea typeface="ADLaM Display" panose="020F0502020204030204" pitchFamily="2" charset="0"/>
            <a:cs typeface="ADLaM Display" panose="020F0502020204030204" pitchFamily="2" charset="0"/>
          </a:endParaRPr>
        </a:p>
      </xdr:txBody>
    </xdr:sp>
    <xdr:clientData/>
  </xdr:twoCellAnchor>
  <xdr:twoCellAnchor editAs="oneCell">
    <xdr:from>
      <xdr:col>0</xdr:col>
      <xdr:colOff>26441</xdr:colOff>
      <xdr:row>0</xdr:row>
      <xdr:rowOff>12019</xdr:rowOff>
    </xdr:from>
    <xdr:to>
      <xdr:col>4</xdr:col>
      <xdr:colOff>599607</xdr:colOff>
      <xdr:row>3</xdr:row>
      <xdr:rowOff>162394</xdr:rowOff>
    </xdr:to>
    <xdr:pic>
      <xdr:nvPicPr>
        <xdr:cNvPr id="20" name="Picture 19" descr="Flipkart Logo and symbol, meaning, history, PNG">
          <a:extLst>
            <a:ext uri="{FF2B5EF4-FFF2-40B4-BE49-F238E27FC236}">
              <a16:creationId xmlns:a16="http://schemas.microsoft.com/office/drawing/2014/main" id="{596F2610-60BD-EF9A-5EF2-81F0554154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441" y="12019"/>
          <a:ext cx="3021559" cy="7125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0</xdr:colOff>
      <xdr:row>4</xdr:row>
      <xdr:rowOff>55217</xdr:rowOff>
    </xdr:from>
    <xdr:ext cx="1325217" cy="1755913"/>
    <mc:AlternateContent xmlns:mc="http://schemas.openxmlformats.org/markup-compatibility/2006" xmlns:a14="http://schemas.microsoft.com/office/drawing/2010/main">
      <mc:Choice Requires="a14">
        <xdr:graphicFrame macro="">
          <xdr:nvGraphicFramePr>
            <xdr:cNvPr id="24" name="Category 1">
              <a:extLst>
                <a:ext uri="{FF2B5EF4-FFF2-40B4-BE49-F238E27FC236}">
                  <a16:creationId xmlns:a16="http://schemas.microsoft.com/office/drawing/2014/main" id="{9BC5AD9A-CE7D-4E23-8CD2-7527211CEA5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 y="729905"/>
              <a:ext cx="1328442" cy="1671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15187</xdr:colOff>
      <xdr:row>13</xdr:row>
      <xdr:rowOff>132522</xdr:rowOff>
    </xdr:from>
    <xdr:to>
      <xdr:col>2</xdr:col>
      <xdr:colOff>121478</xdr:colOff>
      <xdr:row>26</xdr:row>
      <xdr:rowOff>180118</xdr:rowOff>
    </xdr:to>
    <xdr:sp macro="" textlink="">
      <xdr:nvSpPr>
        <xdr:cNvPr id="25" name="Rectangle 24">
          <a:extLst>
            <a:ext uri="{FF2B5EF4-FFF2-40B4-BE49-F238E27FC236}">
              <a16:creationId xmlns:a16="http://schemas.microsoft.com/office/drawing/2014/main" id="{5A241A2A-ECCF-D021-CAA4-F203242B0B47}"/>
            </a:ext>
          </a:extLst>
        </xdr:cNvPr>
        <xdr:cNvSpPr/>
      </xdr:nvSpPr>
      <xdr:spPr>
        <a:xfrm>
          <a:off x="15187" y="2573131"/>
          <a:ext cx="1321074" cy="2499248"/>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oneCellAnchor>
    <xdr:from>
      <xdr:col>0</xdr:col>
      <xdr:colOff>242958</xdr:colOff>
      <xdr:row>21</xdr:row>
      <xdr:rowOff>55217</xdr:rowOff>
    </xdr:from>
    <xdr:ext cx="971825" cy="949739"/>
    <xdr:pic>
      <xdr:nvPicPr>
        <xdr:cNvPr id="28" name="Picture 27">
          <a:hlinkClick xmlns:r="http://schemas.openxmlformats.org/officeDocument/2006/relationships" r:id="rId2"/>
          <a:extLst>
            <a:ext uri="{FF2B5EF4-FFF2-40B4-BE49-F238E27FC236}">
              <a16:creationId xmlns:a16="http://schemas.microsoft.com/office/drawing/2014/main" id="{BD9DBEEE-E5A0-0A74-D5ED-6BBDA335E2AB}"/>
            </a:ext>
          </a:extLst>
        </xdr:cNvPr>
        <xdr:cNvPicPr>
          <a:picLocks noChangeAspect="1"/>
        </xdr:cNvPicPr>
      </xdr:nvPicPr>
      <xdr:blipFill>
        <a:blip xmlns:r="http://schemas.openxmlformats.org/officeDocument/2006/relationships" r:embed="rId3"/>
        <a:stretch>
          <a:fillRect/>
        </a:stretch>
      </xdr:blipFill>
      <xdr:spPr>
        <a:xfrm>
          <a:off x="242958" y="4008782"/>
          <a:ext cx="971825" cy="949739"/>
        </a:xfrm>
        <a:prstGeom prst="rect">
          <a:avLst/>
        </a:prstGeom>
      </xdr:spPr>
    </xdr:pic>
    <xdr:clientData/>
  </xdr:oneCellAnchor>
  <xdr:twoCellAnchor editAs="oneCell">
    <xdr:from>
      <xdr:col>0</xdr:col>
      <xdr:colOff>478781</xdr:colOff>
      <xdr:row>13</xdr:row>
      <xdr:rowOff>132521</xdr:rowOff>
    </xdr:from>
    <xdr:to>
      <xdr:col>1</xdr:col>
      <xdr:colOff>508000</xdr:colOff>
      <xdr:row>19</xdr:row>
      <xdr:rowOff>22087</xdr:rowOff>
    </xdr:to>
    <xdr:pic>
      <xdr:nvPicPr>
        <xdr:cNvPr id="31" name="Picture 30" descr="Log Data Icon - Free Transparent PNG Clipart Images Download">
          <a:hlinkClick xmlns:r="http://schemas.openxmlformats.org/officeDocument/2006/relationships" r:id="rId4"/>
          <a:extLst>
            <a:ext uri="{FF2B5EF4-FFF2-40B4-BE49-F238E27FC236}">
              <a16:creationId xmlns:a16="http://schemas.microsoft.com/office/drawing/2014/main" id="{20D2C10C-9268-F404-2A71-F1993769AF4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78781" y="2573130"/>
          <a:ext cx="636610" cy="10270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99391</xdr:colOff>
      <xdr:row>4</xdr:row>
      <xdr:rowOff>55217</xdr:rowOff>
    </xdr:from>
    <xdr:to>
      <xdr:col>7</xdr:col>
      <xdr:colOff>342349</xdr:colOff>
      <xdr:row>13</xdr:row>
      <xdr:rowOff>121478</xdr:rowOff>
    </xdr:to>
    <xdr:sp macro="" textlink="">
      <xdr:nvSpPr>
        <xdr:cNvPr id="32" name="Rectangle 31">
          <a:extLst>
            <a:ext uri="{FF2B5EF4-FFF2-40B4-BE49-F238E27FC236}">
              <a16:creationId xmlns:a16="http://schemas.microsoft.com/office/drawing/2014/main" id="{638DB389-9135-2937-D64A-CA5D7CE23F98}"/>
            </a:ext>
          </a:extLst>
        </xdr:cNvPr>
        <xdr:cNvSpPr/>
      </xdr:nvSpPr>
      <xdr:spPr>
        <a:xfrm>
          <a:off x="1314174" y="806174"/>
          <a:ext cx="3279914" cy="1755913"/>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3600" b="1"/>
            <a:t>Total</a:t>
          </a:r>
          <a:r>
            <a:rPr lang="en-IN" sz="3600" b="1" baseline="0"/>
            <a:t> sale</a:t>
          </a:r>
          <a:endParaRPr lang="en-IN" sz="3600" b="1"/>
        </a:p>
      </xdr:txBody>
    </xdr:sp>
    <xdr:clientData/>
  </xdr:twoCellAnchor>
  <xdr:twoCellAnchor>
    <xdr:from>
      <xdr:col>7</xdr:col>
      <xdr:colOff>331305</xdr:colOff>
      <xdr:row>4</xdr:row>
      <xdr:rowOff>55217</xdr:rowOff>
    </xdr:from>
    <xdr:to>
      <xdr:col>12</xdr:col>
      <xdr:colOff>463826</xdr:colOff>
      <xdr:row>12</xdr:row>
      <xdr:rowOff>143565</xdr:rowOff>
    </xdr:to>
    <xdr:sp macro="" textlink="">
      <xdr:nvSpPr>
        <xdr:cNvPr id="40" name="Rectangle 39">
          <a:extLst>
            <a:ext uri="{FF2B5EF4-FFF2-40B4-BE49-F238E27FC236}">
              <a16:creationId xmlns:a16="http://schemas.microsoft.com/office/drawing/2014/main" id="{AE0DA5C1-3846-6929-86D4-6E9E077BC764}"/>
            </a:ext>
          </a:extLst>
        </xdr:cNvPr>
        <xdr:cNvSpPr/>
      </xdr:nvSpPr>
      <xdr:spPr>
        <a:xfrm>
          <a:off x="4583044" y="806174"/>
          <a:ext cx="3169478" cy="1590261"/>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496957</xdr:colOff>
      <xdr:row>4</xdr:row>
      <xdr:rowOff>55217</xdr:rowOff>
    </xdr:from>
    <xdr:to>
      <xdr:col>18</xdr:col>
      <xdr:colOff>22088</xdr:colOff>
      <xdr:row>12</xdr:row>
      <xdr:rowOff>143565</xdr:rowOff>
    </xdr:to>
    <xdr:sp macro="" textlink="">
      <xdr:nvSpPr>
        <xdr:cNvPr id="41" name="Rectangle 40">
          <a:extLst>
            <a:ext uri="{FF2B5EF4-FFF2-40B4-BE49-F238E27FC236}">
              <a16:creationId xmlns:a16="http://schemas.microsoft.com/office/drawing/2014/main" id="{3045712D-FF39-2331-BE72-2A3470CCD705}"/>
            </a:ext>
          </a:extLst>
        </xdr:cNvPr>
        <xdr:cNvSpPr/>
      </xdr:nvSpPr>
      <xdr:spPr>
        <a:xfrm>
          <a:off x="7785653" y="806174"/>
          <a:ext cx="3169478" cy="1590261"/>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320261</xdr:colOff>
      <xdr:row>4</xdr:row>
      <xdr:rowOff>55217</xdr:rowOff>
    </xdr:from>
    <xdr:to>
      <xdr:col>14</xdr:col>
      <xdr:colOff>44174</xdr:colOff>
      <xdr:row>13</xdr:row>
      <xdr:rowOff>121478</xdr:rowOff>
    </xdr:to>
    <xdr:sp macro="" textlink="">
      <xdr:nvSpPr>
        <xdr:cNvPr id="3" name="Rectangle 2">
          <a:extLst>
            <a:ext uri="{FF2B5EF4-FFF2-40B4-BE49-F238E27FC236}">
              <a16:creationId xmlns:a16="http://schemas.microsoft.com/office/drawing/2014/main" id="{43505FA1-82DD-8625-CF56-63110D0B9E7C}"/>
            </a:ext>
          </a:extLst>
        </xdr:cNvPr>
        <xdr:cNvSpPr/>
      </xdr:nvSpPr>
      <xdr:spPr>
        <a:xfrm>
          <a:off x="4572000" y="806174"/>
          <a:ext cx="3975652" cy="1755913"/>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3600" b="1"/>
            <a:t>Total</a:t>
          </a:r>
          <a:r>
            <a:rPr lang="en-IN" sz="3600" b="1" baseline="0"/>
            <a:t> Purches</a:t>
          </a:r>
          <a:endParaRPr lang="en-IN" sz="3600" b="1"/>
        </a:p>
      </xdr:txBody>
    </xdr:sp>
    <xdr:clientData/>
  </xdr:twoCellAnchor>
  <xdr:twoCellAnchor>
    <xdr:from>
      <xdr:col>14</xdr:col>
      <xdr:colOff>22087</xdr:colOff>
      <xdr:row>4</xdr:row>
      <xdr:rowOff>55217</xdr:rowOff>
    </xdr:from>
    <xdr:to>
      <xdr:col>19</xdr:col>
      <xdr:colOff>585304</xdr:colOff>
      <xdr:row>13</xdr:row>
      <xdr:rowOff>110434</xdr:rowOff>
    </xdr:to>
    <xdr:sp macro="" textlink="">
      <xdr:nvSpPr>
        <xdr:cNvPr id="4" name="Rectangle 3">
          <a:extLst>
            <a:ext uri="{FF2B5EF4-FFF2-40B4-BE49-F238E27FC236}">
              <a16:creationId xmlns:a16="http://schemas.microsoft.com/office/drawing/2014/main" id="{EA24E28D-1FF4-2EF0-AB13-FEA91F8BA7EC}"/>
            </a:ext>
          </a:extLst>
        </xdr:cNvPr>
        <xdr:cNvSpPr/>
      </xdr:nvSpPr>
      <xdr:spPr>
        <a:xfrm>
          <a:off x="8624957" y="806174"/>
          <a:ext cx="3600173" cy="1744869"/>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3600" b="1"/>
            <a:t>Total</a:t>
          </a:r>
          <a:r>
            <a:rPr lang="en-IN" sz="3600" b="1" baseline="0"/>
            <a:t> Profit</a:t>
          </a:r>
          <a:endParaRPr lang="en-IN" sz="3600" b="1"/>
        </a:p>
      </xdr:txBody>
    </xdr:sp>
    <xdr:clientData/>
  </xdr:twoCellAnchor>
  <xdr:twoCellAnchor>
    <xdr:from>
      <xdr:col>2</xdr:col>
      <xdr:colOff>463827</xdr:colOff>
      <xdr:row>8</xdr:row>
      <xdr:rowOff>22087</xdr:rowOff>
    </xdr:from>
    <xdr:to>
      <xdr:col>5</xdr:col>
      <xdr:colOff>55217</xdr:colOff>
      <xdr:row>11</xdr:row>
      <xdr:rowOff>22087</xdr:rowOff>
    </xdr:to>
    <xdr:sp macro="" textlink="pivot!$B$11">
      <xdr:nvSpPr>
        <xdr:cNvPr id="7" name="TextBox 6">
          <a:extLst>
            <a:ext uri="{FF2B5EF4-FFF2-40B4-BE49-F238E27FC236}">
              <a16:creationId xmlns:a16="http://schemas.microsoft.com/office/drawing/2014/main" id="{19A01751-4DCB-4CCB-A2F7-EDC41FB900E2}"/>
            </a:ext>
          </a:extLst>
        </xdr:cNvPr>
        <xdr:cNvSpPr txBox="1"/>
      </xdr:nvSpPr>
      <xdr:spPr>
        <a:xfrm>
          <a:off x="1678610" y="1524000"/>
          <a:ext cx="1413564" cy="563217"/>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fld id="{DD3CFD46-C21E-477A-A853-1EFC2A435392}" type="TxLink">
            <a:rPr lang="en-US" sz="2800" b="1" i="0" u="none" strike="noStrike">
              <a:solidFill>
                <a:schemeClr val="bg1"/>
              </a:solidFill>
              <a:latin typeface="Calibri"/>
              <a:ea typeface="Calibri"/>
              <a:cs typeface="Calibri"/>
            </a:rPr>
            <a:pPr/>
            <a:t>9426771</a:t>
          </a:fld>
          <a:endParaRPr lang="en-IN" sz="2800" b="1">
            <a:solidFill>
              <a:schemeClr val="bg1"/>
            </a:solidFill>
          </a:endParaRPr>
        </a:p>
      </xdr:txBody>
    </xdr:sp>
    <xdr:clientData/>
  </xdr:twoCellAnchor>
  <xdr:twoCellAnchor>
    <xdr:from>
      <xdr:col>4</xdr:col>
      <xdr:colOff>574261</xdr:colOff>
      <xdr:row>0</xdr:row>
      <xdr:rowOff>0</xdr:rowOff>
    </xdr:from>
    <xdr:to>
      <xdr:col>7</xdr:col>
      <xdr:colOff>596348</xdr:colOff>
      <xdr:row>16</xdr:row>
      <xdr:rowOff>44174</xdr:rowOff>
    </xdr:to>
    <xdr:graphicFrame macro="">
      <xdr:nvGraphicFramePr>
        <xdr:cNvPr id="8" name="Chart 7">
          <a:extLst>
            <a:ext uri="{FF2B5EF4-FFF2-40B4-BE49-F238E27FC236}">
              <a16:creationId xmlns:a16="http://schemas.microsoft.com/office/drawing/2014/main" id="{65780D7F-C8BF-482A-9F8A-66E63D0A7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375478</xdr:colOff>
      <xdr:row>5</xdr:row>
      <xdr:rowOff>44174</xdr:rowOff>
    </xdr:from>
    <xdr:to>
      <xdr:col>15</xdr:col>
      <xdr:colOff>55216</xdr:colOff>
      <xdr:row>17</xdr:row>
      <xdr:rowOff>165653</xdr:rowOff>
    </xdr:to>
    <xdr:graphicFrame macro="">
      <xdr:nvGraphicFramePr>
        <xdr:cNvPr id="10" name="Chart 9">
          <a:extLst>
            <a:ext uri="{FF2B5EF4-FFF2-40B4-BE49-F238E27FC236}">
              <a16:creationId xmlns:a16="http://schemas.microsoft.com/office/drawing/2014/main" id="{05EF9894-3C4A-49C3-B8AD-7A3D00CB7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187740</xdr:colOff>
      <xdr:row>0</xdr:row>
      <xdr:rowOff>0</xdr:rowOff>
    </xdr:from>
    <xdr:to>
      <xdr:col>20</xdr:col>
      <xdr:colOff>154609</xdr:colOff>
      <xdr:row>18</xdr:row>
      <xdr:rowOff>22087</xdr:rowOff>
    </xdr:to>
    <xdr:graphicFrame macro="">
      <xdr:nvGraphicFramePr>
        <xdr:cNvPr id="12" name="Chart 11">
          <a:extLst>
            <a:ext uri="{FF2B5EF4-FFF2-40B4-BE49-F238E27FC236}">
              <a16:creationId xmlns:a16="http://schemas.microsoft.com/office/drawing/2014/main" id="{8240E042-1B43-45C0-922C-9259386CE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22089</xdr:colOff>
      <xdr:row>8</xdr:row>
      <xdr:rowOff>22087</xdr:rowOff>
    </xdr:from>
    <xdr:to>
      <xdr:col>10</xdr:col>
      <xdr:colOff>220870</xdr:colOff>
      <xdr:row>11</xdr:row>
      <xdr:rowOff>22087</xdr:rowOff>
    </xdr:to>
    <xdr:sp macro="" textlink="pivot!$E$11">
      <xdr:nvSpPr>
        <xdr:cNvPr id="18" name="TextBox 17">
          <a:extLst>
            <a:ext uri="{FF2B5EF4-FFF2-40B4-BE49-F238E27FC236}">
              <a16:creationId xmlns:a16="http://schemas.microsoft.com/office/drawing/2014/main" id="{67C560F1-FD8F-10AC-5FCB-C3B127DD5024}"/>
            </a:ext>
          </a:extLst>
        </xdr:cNvPr>
        <xdr:cNvSpPr txBox="1"/>
      </xdr:nvSpPr>
      <xdr:spPr>
        <a:xfrm>
          <a:off x="4881219" y="1524000"/>
          <a:ext cx="1413564" cy="563217"/>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fld id="{4E518B7B-3E0E-4CB7-8464-6EE8F8121F6B}" type="TxLink">
            <a:rPr lang="en-US" sz="2800" b="0" i="0" u="none" strike="noStrike">
              <a:solidFill>
                <a:schemeClr val="bg1"/>
              </a:solidFill>
              <a:latin typeface="Calibri"/>
              <a:ea typeface="Calibri"/>
              <a:cs typeface="Calibri"/>
            </a:rPr>
            <a:pPr/>
            <a:t>5486916</a:t>
          </a:fld>
          <a:endParaRPr lang="en-IN" sz="2800" b="1">
            <a:solidFill>
              <a:schemeClr val="bg1"/>
            </a:solidFill>
          </a:endParaRPr>
        </a:p>
      </xdr:txBody>
    </xdr:sp>
    <xdr:clientData/>
  </xdr:twoCellAnchor>
  <xdr:twoCellAnchor>
    <xdr:from>
      <xdr:col>14</xdr:col>
      <xdr:colOff>375479</xdr:colOff>
      <xdr:row>7</xdr:row>
      <xdr:rowOff>121478</xdr:rowOff>
    </xdr:from>
    <xdr:to>
      <xdr:col>16</xdr:col>
      <xdr:colOff>585305</xdr:colOff>
      <xdr:row>10</xdr:row>
      <xdr:rowOff>121478</xdr:rowOff>
    </xdr:to>
    <xdr:sp macro="" textlink="pivot!$I$11">
      <xdr:nvSpPr>
        <xdr:cNvPr id="19" name="TextBox 18">
          <a:extLst>
            <a:ext uri="{FF2B5EF4-FFF2-40B4-BE49-F238E27FC236}">
              <a16:creationId xmlns:a16="http://schemas.microsoft.com/office/drawing/2014/main" id="{EA6F24EE-1F02-DFA4-E212-E5BCBBAAF1DB}"/>
            </a:ext>
          </a:extLst>
        </xdr:cNvPr>
        <xdr:cNvSpPr txBox="1"/>
      </xdr:nvSpPr>
      <xdr:spPr>
        <a:xfrm>
          <a:off x="8878957" y="1435652"/>
          <a:ext cx="1424609" cy="563217"/>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fld id="{26142DF3-9AE8-475B-9C31-E49AA0492BBA}" type="TxLink">
            <a:rPr lang="en-US" sz="2800" b="0" i="0" u="none" strike="noStrike">
              <a:solidFill>
                <a:schemeClr val="bg1"/>
              </a:solidFill>
              <a:latin typeface="Calibri"/>
              <a:ea typeface="Calibri"/>
              <a:cs typeface="Calibri"/>
            </a:rPr>
            <a:pPr/>
            <a:t>3939855</a:t>
          </a:fld>
          <a:endParaRPr lang="en-IN" sz="2800" b="1">
            <a:solidFill>
              <a:schemeClr val="bg1"/>
            </a:solidFill>
          </a:endParaRPr>
        </a:p>
      </xdr:txBody>
    </xdr:sp>
    <xdr:clientData/>
  </xdr:twoCellAnchor>
  <xdr:twoCellAnchor>
    <xdr:from>
      <xdr:col>2</xdr:col>
      <xdr:colOff>99391</xdr:colOff>
      <xdr:row>13</xdr:row>
      <xdr:rowOff>143565</xdr:rowOff>
    </xdr:from>
    <xdr:to>
      <xdr:col>10</xdr:col>
      <xdr:colOff>596348</xdr:colOff>
      <xdr:row>26</xdr:row>
      <xdr:rowOff>165652</xdr:rowOff>
    </xdr:to>
    <xdr:sp macro="" textlink="">
      <xdr:nvSpPr>
        <xdr:cNvPr id="26" name="Rectangle 25">
          <a:extLst>
            <a:ext uri="{FF2B5EF4-FFF2-40B4-BE49-F238E27FC236}">
              <a16:creationId xmlns:a16="http://schemas.microsoft.com/office/drawing/2014/main" id="{EE4EE2A7-C074-2185-0445-3A0F7EFC0A8D}"/>
            </a:ext>
          </a:extLst>
        </xdr:cNvPr>
        <xdr:cNvSpPr/>
      </xdr:nvSpPr>
      <xdr:spPr>
        <a:xfrm>
          <a:off x="1314174" y="2584174"/>
          <a:ext cx="5455478" cy="2473739"/>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IN" sz="3600" b="1" baseline="0"/>
            <a:t>Monthwies Sale</a:t>
          </a:r>
          <a:endParaRPr lang="en-IN" sz="3600" b="1"/>
        </a:p>
      </xdr:txBody>
    </xdr:sp>
    <xdr:clientData/>
  </xdr:twoCellAnchor>
  <xdr:twoCellAnchor>
    <xdr:from>
      <xdr:col>2</xdr:col>
      <xdr:colOff>121478</xdr:colOff>
      <xdr:row>16</xdr:row>
      <xdr:rowOff>113944</xdr:rowOff>
    </xdr:from>
    <xdr:to>
      <xdr:col>10</xdr:col>
      <xdr:colOff>585304</xdr:colOff>
      <xdr:row>26</xdr:row>
      <xdr:rowOff>163794</xdr:rowOff>
    </xdr:to>
    <xdr:graphicFrame macro="">
      <xdr:nvGraphicFramePr>
        <xdr:cNvPr id="27" name="Chart 26">
          <a:extLst>
            <a:ext uri="{FF2B5EF4-FFF2-40B4-BE49-F238E27FC236}">
              <a16:creationId xmlns:a16="http://schemas.microsoft.com/office/drawing/2014/main" id="{10D4B2D1-12B2-42BD-9764-9881409DA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11044</xdr:colOff>
      <xdr:row>13</xdr:row>
      <xdr:rowOff>143565</xdr:rowOff>
    </xdr:from>
    <xdr:to>
      <xdr:col>20</xdr:col>
      <xdr:colOff>1</xdr:colOff>
      <xdr:row>26</xdr:row>
      <xdr:rowOff>165652</xdr:rowOff>
    </xdr:to>
    <xdr:sp macro="" textlink="">
      <xdr:nvSpPr>
        <xdr:cNvPr id="29" name="Rectangle 28">
          <a:extLst>
            <a:ext uri="{FF2B5EF4-FFF2-40B4-BE49-F238E27FC236}">
              <a16:creationId xmlns:a16="http://schemas.microsoft.com/office/drawing/2014/main" id="{80C02ECE-B00E-2BE0-798A-BC2C32E9C91F}"/>
            </a:ext>
          </a:extLst>
        </xdr:cNvPr>
        <xdr:cNvSpPr/>
      </xdr:nvSpPr>
      <xdr:spPr>
        <a:xfrm>
          <a:off x="6791740" y="2584174"/>
          <a:ext cx="5455478" cy="2473739"/>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3600" b="1"/>
            <a:t>   Prodectwise</a:t>
          </a:r>
          <a:r>
            <a:rPr lang="en-IN" sz="3600" b="1" baseline="0"/>
            <a:t> Sale</a:t>
          </a:r>
          <a:endParaRPr lang="en-IN" sz="3600" b="1"/>
        </a:p>
      </xdr:txBody>
    </xdr:sp>
    <xdr:clientData/>
  </xdr:twoCellAnchor>
  <xdr:twoCellAnchor>
    <xdr:from>
      <xdr:col>11</xdr:col>
      <xdr:colOff>38746</xdr:colOff>
      <xdr:row>16</xdr:row>
      <xdr:rowOff>103322</xdr:rowOff>
    </xdr:from>
    <xdr:to>
      <xdr:col>16</xdr:col>
      <xdr:colOff>400373</xdr:colOff>
      <xdr:row>26</xdr:row>
      <xdr:rowOff>151776</xdr:rowOff>
    </xdr:to>
    <mc:AlternateContent xmlns:mc="http://schemas.openxmlformats.org/markup-compatibility/2006">
      <mc:Choice xmlns:cx1="http://schemas.microsoft.com/office/drawing/2015/9/8/chartex" Requires="cx1">
        <xdr:graphicFrame macro="">
          <xdr:nvGraphicFramePr>
            <xdr:cNvPr id="35" name="Chart 34">
              <a:extLst>
                <a:ext uri="{FF2B5EF4-FFF2-40B4-BE49-F238E27FC236}">
                  <a16:creationId xmlns:a16="http://schemas.microsoft.com/office/drawing/2014/main" id="{2ADCEBEC-6255-40BA-A2D4-9740788978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843406" y="3044642"/>
              <a:ext cx="3409627" cy="187725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426204</xdr:colOff>
      <xdr:row>16</xdr:row>
      <xdr:rowOff>99701</xdr:rowOff>
    </xdr:from>
    <xdr:to>
      <xdr:col>27</xdr:col>
      <xdr:colOff>426203</xdr:colOff>
      <xdr:row>27</xdr:row>
      <xdr:rowOff>25831</xdr:rowOff>
    </xdr:to>
    <xdr:graphicFrame macro="">
      <xdr:nvGraphicFramePr>
        <xdr:cNvPr id="37" name="Chart 36">
          <a:extLst>
            <a:ext uri="{FF2B5EF4-FFF2-40B4-BE49-F238E27FC236}">
              <a16:creationId xmlns:a16="http://schemas.microsoft.com/office/drawing/2014/main" id="{AC242E33-9CF4-4935-8C78-50E7B493A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-1</xdr:colOff>
      <xdr:row>0</xdr:row>
      <xdr:rowOff>0</xdr:rowOff>
    </xdr:from>
    <xdr:to>
      <xdr:col>28</xdr:col>
      <xdr:colOff>0</xdr:colOff>
      <xdr:row>26</xdr:row>
      <xdr:rowOff>165653</xdr:rowOff>
    </xdr:to>
    <xdr:sp macro="" textlink="">
      <xdr:nvSpPr>
        <xdr:cNvPr id="38" name="Rectangle 37">
          <a:extLst>
            <a:ext uri="{FF2B5EF4-FFF2-40B4-BE49-F238E27FC236}">
              <a16:creationId xmlns:a16="http://schemas.microsoft.com/office/drawing/2014/main" id="{0D4FD9A8-C5DA-4120-FF9C-E20B5B729A99}"/>
            </a:ext>
          </a:extLst>
        </xdr:cNvPr>
        <xdr:cNvSpPr/>
      </xdr:nvSpPr>
      <xdr:spPr>
        <a:xfrm>
          <a:off x="12341411" y="0"/>
          <a:ext cx="4900707" cy="4842241"/>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3600" b="1"/>
            <a:t>   Statewise</a:t>
          </a:r>
          <a:r>
            <a:rPr lang="en-IN" sz="3600" b="1" baseline="0"/>
            <a:t> Sale</a:t>
          </a:r>
          <a:endParaRPr lang="en-IN" sz="3600" b="1"/>
        </a:p>
      </xdr:txBody>
    </xdr:sp>
    <xdr:clientData/>
  </xdr:twoCellAnchor>
  <xdr:twoCellAnchor>
    <xdr:from>
      <xdr:col>20</xdr:col>
      <xdr:colOff>91538</xdr:colOff>
      <xdr:row>3</xdr:row>
      <xdr:rowOff>28936</xdr:rowOff>
    </xdr:from>
    <xdr:to>
      <xdr:col>27</xdr:col>
      <xdr:colOff>558854</xdr:colOff>
      <xdr:row>26</xdr:row>
      <xdr:rowOff>173619</xdr:rowOff>
    </xdr:to>
    <mc:AlternateContent xmlns:mc="http://schemas.openxmlformats.org/markup-compatibility/2006">
      <mc:Choice xmlns:cx4="http://schemas.microsoft.com/office/drawing/2016/5/10/chartex" Requires="cx4">
        <xdr:graphicFrame macro="">
          <xdr:nvGraphicFramePr>
            <xdr:cNvPr id="39" name="Chart 38">
              <a:extLst>
                <a:ext uri="{FF2B5EF4-FFF2-40B4-BE49-F238E27FC236}">
                  <a16:creationId xmlns:a16="http://schemas.microsoft.com/office/drawing/2014/main" id="{54954718-6B4D-4678-B910-EFED55570F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2382598" y="577576"/>
              <a:ext cx="4734516" cy="43661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8.701551736114" createdVersion="8" refreshedVersion="8" minRefreshableVersion="3" recordCount="150" xr:uid="{DAA3A919-0B74-48C6-A331-1D609DA4F72A}">
  <cacheSource type="worksheet">
    <worksheetSource ref="A1:L151" sheet="Sales Data"/>
  </cacheSource>
  <cacheFields count="14">
    <cacheField name="Date" numFmtId="164">
      <sharedItems containsSemiMixedTypes="0" containsNonDate="0" containsDate="1" containsString="0" minDate="2024-04-01T00:00:00" maxDate="2024-06-30T00:00:00" count="9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sharedItems>
      <fieldGroup par="13"/>
    </cacheField>
    <cacheField name="Name" numFmtId="0">
      <sharedItems/>
    </cacheField>
    <cacheField name="Category" numFmtId="0">
      <sharedItems count="5">
        <s v="Electronics"/>
        <s v="Automobile"/>
        <s v="Fashion"/>
        <s v="Food"/>
        <s v="Healthcare"/>
      </sharedItems>
    </cacheField>
    <cacheField name="Product Name" numFmtId="0">
      <sharedItems count="25">
        <s v="Speaker"/>
        <s v="Car"/>
        <s v="Accessories"/>
        <s v="Helmet"/>
        <s v="Jeans"/>
        <s v="TV"/>
        <s v="Juice"/>
        <s v="Spices"/>
        <s v="First Aid Kit"/>
        <s v="Health Monitor"/>
        <s v="Tyre"/>
        <s v="Supplements"/>
        <s v="Coffee"/>
        <s v="Women Dress"/>
        <s v="Men Shirt"/>
        <s v="Skincare"/>
        <s v="Biscuits"/>
        <s v="Earbuds"/>
        <s v="Vitamins"/>
        <s v="Bike"/>
        <s v="Shoes"/>
        <s v="Jacket"/>
        <s v="Laptop"/>
        <s v="Smartphone"/>
        <s v="Snacks"/>
      </sharedItems>
    </cacheField>
    <cacheField name="State" numFmtId="0">
      <sharedItems count="15">
        <s v="Andhra Pradesh"/>
        <s v="Bihar"/>
        <s v="Delhi"/>
        <s v="Punjab"/>
        <s v="Maharashtra"/>
        <s v="Karnataka"/>
        <s v="Telangana"/>
        <s v="Madhya Pradesh"/>
        <s v="Tamil Nadu"/>
        <s v="West Bengal"/>
        <s v="Gujarat"/>
        <s v="Haryana"/>
        <s v="Chandigarh"/>
        <s v="Uttar Pradesh"/>
        <s v="Rajasthan"/>
      </sharedItems>
    </cacheField>
    <cacheField name="Gender" numFmtId="0">
      <sharedItems/>
    </cacheField>
    <cacheField name="Quantity" numFmtId="0">
      <sharedItems containsSemiMixedTypes="0" containsString="0" containsNumber="1" containsInteger="1" minValue="10" maxValue="100"/>
    </cacheField>
    <cacheField name="Cost" numFmtId="3">
      <sharedItems containsSemiMixedTypes="0" containsString="0" containsNumber="1" containsInteger="1" minValue="310" maxValue="999"/>
    </cacheField>
    <cacheField name="Price" numFmtId="3">
      <sharedItems containsSemiMixedTypes="0" containsString="0" containsNumber="1" containsInteger="1" minValue="441" maxValue="2126"/>
    </cacheField>
    <cacheField name="Purchase Cost" numFmtId="3">
      <sharedItems containsSemiMixedTypes="0" containsString="0" containsNumber="1" containsInteger="1" minValue="4620" maxValue="91200"/>
    </cacheField>
    <cacheField name="Sale Price" numFmtId="3">
      <sharedItems containsSemiMixedTypes="0" containsString="0" containsNumber="1" containsInteger="1" minValue="6174" maxValue="178577"/>
    </cacheField>
    <cacheField name="Profit" numFmtId="3">
      <sharedItems containsSemiMixedTypes="0" containsString="0" containsNumber="1" containsInteger="1" minValue="1554" maxValue="89919"/>
    </cacheField>
    <cacheField name="Days (Date)" numFmtId="0" databaseField="0">
      <fieldGroup base="0">
        <rangePr groupBy="days" startDate="2024-04-01T00:00:00" endDate="2024-06-30T00:00:00"/>
        <groupItems count="368">
          <s v="&lt;01-04-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6-2024"/>
        </groupItems>
      </fieldGroup>
    </cacheField>
    <cacheField name="Months (Date)" numFmtId="0" databaseField="0">
      <fieldGroup base="0">
        <rangePr groupBy="months" startDate="2024-04-01T00:00:00" endDate="2024-06-30T00:00:00"/>
        <groupItems count="14">
          <s v="&lt;01-04-2024"/>
          <s v="Jan"/>
          <s v="Feb"/>
          <s v="Mar"/>
          <s v="Apr"/>
          <s v="May"/>
          <s v="Jun"/>
          <s v="Jul"/>
          <s v="Aug"/>
          <s v="Sep"/>
          <s v="Oct"/>
          <s v="Nov"/>
          <s v="Dec"/>
          <s v="&gt;30-06-2024"/>
        </groupItems>
      </fieldGroup>
    </cacheField>
  </cacheFields>
  <extLst>
    <ext xmlns:x14="http://schemas.microsoft.com/office/spreadsheetml/2009/9/main" uri="{725AE2AE-9491-48be-B2B4-4EB974FC3084}">
      <x14:pivotCacheDefinition pivotCacheId="2256106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Solid Ventures"/>
    <x v="0"/>
    <x v="0"/>
    <x v="0"/>
    <s v="Female"/>
    <n v="41"/>
    <n v="528"/>
    <n v="729"/>
    <n v="21648"/>
    <n v="29889"/>
    <n v="8241"/>
  </r>
  <r>
    <x v="1"/>
    <s v="Mystic India Exports"/>
    <x v="1"/>
    <x v="1"/>
    <x v="1"/>
    <s v="Female"/>
    <n v="14"/>
    <n v="330"/>
    <n v="441"/>
    <n v="4620"/>
    <n v="6174"/>
    <n v="1554"/>
  </r>
  <r>
    <x v="2"/>
    <s v="Harmony Foods"/>
    <x v="1"/>
    <x v="2"/>
    <x v="2"/>
    <s v="Male"/>
    <n v="93"/>
    <n v="858"/>
    <n v="1414"/>
    <n v="79794"/>
    <n v="131502"/>
    <n v="51708"/>
  </r>
  <r>
    <x v="3"/>
    <s v="Sacred Roots Apparel"/>
    <x v="1"/>
    <x v="3"/>
    <x v="3"/>
    <s v="Male"/>
    <n v="30"/>
    <n v="732"/>
    <n v="1151"/>
    <n v="21960"/>
    <n v="34530"/>
    <n v="12570"/>
  </r>
  <r>
    <x v="4"/>
    <s v="Golden Horizon Ventures"/>
    <x v="2"/>
    <x v="4"/>
    <x v="4"/>
    <s v="Male"/>
    <n v="58"/>
    <n v="399"/>
    <n v="634"/>
    <n v="23142"/>
    <n v="36772"/>
    <n v="13630"/>
  </r>
  <r>
    <x v="5"/>
    <s v="Divine Creations"/>
    <x v="1"/>
    <x v="3"/>
    <x v="3"/>
    <s v="Male"/>
    <n v="68"/>
    <n v="849"/>
    <n v="1161"/>
    <n v="57732"/>
    <n v="78948"/>
    <n v="21216"/>
  </r>
  <r>
    <x v="6"/>
    <s v="Metro Tech Solutions"/>
    <x v="0"/>
    <x v="5"/>
    <x v="5"/>
    <s v="Female"/>
    <n v="83"/>
    <n v="496"/>
    <n v="951"/>
    <n v="41168"/>
    <n v="78933"/>
    <n v="37765"/>
  </r>
  <r>
    <x v="7"/>
    <s v="Green Leaf Enterprises"/>
    <x v="2"/>
    <x v="4"/>
    <x v="4"/>
    <s v="Male"/>
    <n v="22"/>
    <n v="689"/>
    <n v="1043"/>
    <n v="15158"/>
    <n v="22946"/>
    <n v="7788"/>
  </r>
  <r>
    <x v="8"/>
    <s v="Solid Ventures"/>
    <x v="3"/>
    <x v="6"/>
    <x v="6"/>
    <s v="Female"/>
    <n v="36"/>
    <n v="986"/>
    <n v="1482"/>
    <n v="35496"/>
    <n v="53352"/>
    <n v="17856"/>
  </r>
  <r>
    <x v="9"/>
    <s v="Prestige Automobiles"/>
    <x v="0"/>
    <x v="5"/>
    <x v="7"/>
    <s v="Male"/>
    <n v="78"/>
    <n v="550"/>
    <n v="772"/>
    <n v="42900"/>
    <n v="60216"/>
    <n v="17316"/>
  </r>
  <r>
    <x v="10"/>
    <s v="Metro Tech Solutions"/>
    <x v="3"/>
    <x v="7"/>
    <x v="8"/>
    <s v="Female"/>
    <n v="17"/>
    <n v="534"/>
    <n v="1084"/>
    <n v="9078"/>
    <n v="18428"/>
    <n v="9350"/>
  </r>
  <r>
    <x v="11"/>
    <s v="Radiant Health Systems"/>
    <x v="4"/>
    <x v="8"/>
    <x v="4"/>
    <s v="Male"/>
    <n v="82"/>
    <n v="622"/>
    <n v="903"/>
    <n v="51004"/>
    <n v="74046"/>
    <n v="23042"/>
  </r>
  <r>
    <x v="12"/>
    <s v="Quantum Finance Services"/>
    <x v="4"/>
    <x v="9"/>
    <x v="9"/>
    <s v="Female"/>
    <n v="27"/>
    <n v="552"/>
    <n v="1080"/>
    <n v="14904"/>
    <n v="29160"/>
    <n v="14256"/>
  </r>
  <r>
    <x v="13"/>
    <s v="Visionary Holdings"/>
    <x v="3"/>
    <x v="7"/>
    <x v="10"/>
    <s v="Female"/>
    <n v="56"/>
    <n v="524"/>
    <n v="1151"/>
    <n v="29344"/>
    <n v="64456"/>
    <n v="35112"/>
  </r>
  <r>
    <x v="14"/>
    <s v="Golden Horizon Ventures"/>
    <x v="1"/>
    <x v="10"/>
    <x v="4"/>
    <s v="Male"/>
    <n v="24"/>
    <n v="456"/>
    <n v="841"/>
    <n v="10944"/>
    <n v="20184"/>
    <n v="9240"/>
  </r>
  <r>
    <x v="15"/>
    <s v="Prestige Automobiles"/>
    <x v="4"/>
    <x v="11"/>
    <x v="4"/>
    <s v="Female"/>
    <n v="58"/>
    <n v="910"/>
    <n v="1998"/>
    <n v="52780"/>
    <n v="115884"/>
    <n v="63104"/>
  </r>
  <r>
    <x v="16"/>
    <s v="Brilliant Minds Academy"/>
    <x v="3"/>
    <x v="7"/>
    <x v="11"/>
    <s v="Male"/>
    <n v="97"/>
    <n v="417"/>
    <n v="791"/>
    <n v="40449"/>
    <n v="76727"/>
    <n v="36278"/>
  </r>
  <r>
    <x v="17"/>
    <s v="Visionary Holdings"/>
    <x v="3"/>
    <x v="12"/>
    <x v="4"/>
    <s v="Female"/>
    <n v="65"/>
    <n v="461"/>
    <n v="774"/>
    <n v="29965"/>
    <n v="50310"/>
    <n v="20345"/>
  </r>
  <r>
    <x v="18"/>
    <s v="Natural Bliss Beverages"/>
    <x v="3"/>
    <x v="7"/>
    <x v="3"/>
    <s v="Male"/>
    <n v="74"/>
    <n v="408"/>
    <n v="847"/>
    <n v="30192"/>
    <n v="62678"/>
    <n v="32486"/>
  </r>
  <r>
    <x v="19"/>
    <s v="Zenith Construction Co."/>
    <x v="1"/>
    <x v="2"/>
    <x v="8"/>
    <s v="Male"/>
    <n v="57"/>
    <n v="465"/>
    <n v="819"/>
    <n v="26505"/>
    <n v="46683"/>
    <n v="20178"/>
  </r>
  <r>
    <x v="20"/>
    <s v="Brilliant Minds Academy"/>
    <x v="0"/>
    <x v="5"/>
    <x v="6"/>
    <s v="Female"/>
    <n v="12"/>
    <n v="414"/>
    <n v="882"/>
    <n v="4968"/>
    <n v="10584"/>
    <n v="5616"/>
  </r>
  <r>
    <x v="21"/>
    <s v="Zenith Construction Co."/>
    <x v="2"/>
    <x v="13"/>
    <x v="8"/>
    <s v="Male"/>
    <n v="20"/>
    <n v="797"/>
    <n v="1614"/>
    <n v="15940"/>
    <n v="32280"/>
    <n v="16340"/>
  </r>
  <r>
    <x v="22"/>
    <s v="Visionary Holdings"/>
    <x v="2"/>
    <x v="14"/>
    <x v="7"/>
    <s v="Female"/>
    <n v="80"/>
    <n v="469"/>
    <n v="704"/>
    <n v="37520"/>
    <n v="56320"/>
    <n v="18800"/>
  </r>
  <r>
    <x v="23"/>
    <s v="Classic Cultures"/>
    <x v="4"/>
    <x v="15"/>
    <x v="12"/>
    <s v="Male"/>
    <n v="49"/>
    <n v="708"/>
    <n v="1554"/>
    <n v="34692"/>
    <n v="76146"/>
    <n v="41454"/>
  </r>
  <r>
    <x v="24"/>
    <s v="Solid Ventures"/>
    <x v="3"/>
    <x v="16"/>
    <x v="12"/>
    <s v="Female"/>
    <n v="25"/>
    <n v="553"/>
    <n v="809"/>
    <n v="13825"/>
    <n v="20225"/>
    <n v="6400"/>
  </r>
  <r>
    <x v="25"/>
    <s v="Radiant Health Systems"/>
    <x v="0"/>
    <x v="5"/>
    <x v="13"/>
    <s v="Male"/>
    <n v="85"/>
    <n v="525"/>
    <n v="659"/>
    <n v="44625"/>
    <n v="56015"/>
    <n v="11390"/>
  </r>
  <r>
    <x v="26"/>
    <s v="Elite Marketing Solutions"/>
    <x v="0"/>
    <x v="17"/>
    <x v="4"/>
    <s v="Male"/>
    <n v="52"/>
    <n v="372"/>
    <n v="646"/>
    <n v="19344"/>
    <n v="33592"/>
    <n v="14248"/>
  </r>
  <r>
    <x v="27"/>
    <s v="Pure Essence Skincare"/>
    <x v="4"/>
    <x v="15"/>
    <x v="13"/>
    <s v="Male"/>
    <n v="83"/>
    <n v="890"/>
    <n v="1512"/>
    <n v="73870"/>
    <n v="125496"/>
    <n v="51626"/>
  </r>
  <r>
    <x v="28"/>
    <s v="Quantum Finance Services"/>
    <x v="4"/>
    <x v="15"/>
    <x v="4"/>
    <s v="Male"/>
    <n v="94"/>
    <n v="741"/>
    <n v="1175"/>
    <n v="69654"/>
    <n v="110450"/>
    <n v="40796"/>
  </r>
  <r>
    <x v="29"/>
    <s v="TruePath Logistics"/>
    <x v="4"/>
    <x v="18"/>
    <x v="7"/>
    <s v="Male"/>
    <n v="17"/>
    <n v="712"/>
    <n v="1382"/>
    <n v="12104"/>
    <n v="23494"/>
    <n v="11390"/>
  </r>
  <r>
    <x v="30"/>
    <s v="Mystic India Exports"/>
    <x v="2"/>
    <x v="14"/>
    <x v="8"/>
    <s v="Female"/>
    <n v="27"/>
    <n v="732"/>
    <n v="1042"/>
    <n v="19764"/>
    <n v="28134"/>
    <n v="8370"/>
  </r>
  <r>
    <x v="31"/>
    <s v="Sacred Roots Apparel"/>
    <x v="2"/>
    <x v="13"/>
    <x v="14"/>
    <s v="Male"/>
    <n v="16"/>
    <n v="967"/>
    <n v="2126"/>
    <n v="15472"/>
    <n v="34016"/>
    <n v="18544"/>
  </r>
  <r>
    <x v="32"/>
    <s v="Bharat Innovations"/>
    <x v="0"/>
    <x v="17"/>
    <x v="9"/>
    <s v="Female"/>
    <n v="72"/>
    <n v="792"/>
    <n v="1150"/>
    <n v="57024"/>
    <n v="82800"/>
    <n v="25776"/>
  </r>
  <r>
    <x v="33"/>
    <s v="Metro Tech Solutions"/>
    <x v="0"/>
    <x v="17"/>
    <x v="10"/>
    <s v="Male"/>
    <n v="59"/>
    <n v="571"/>
    <n v="1216"/>
    <n v="33689"/>
    <n v="71744"/>
    <n v="38055"/>
  </r>
  <r>
    <x v="34"/>
    <s v="Sacred Roots Apparel"/>
    <x v="3"/>
    <x v="16"/>
    <x v="0"/>
    <s v="Female"/>
    <n v="29"/>
    <n v="494"/>
    <n v="756"/>
    <n v="14326"/>
    <n v="21924"/>
    <n v="7598"/>
  </r>
  <r>
    <x v="35"/>
    <s v="Green Leaf Enterprises"/>
    <x v="1"/>
    <x v="2"/>
    <x v="2"/>
    <s v="Female"/>
    <n v="17"/>
    <n v="351"/>
    <n v="633"/>
    <n v="5967"/>
    <n v="10761"/>
    <n v="4794"/>
  </r>
  <r>
    <x v="36"/>
    <s v="Brilliant Minds Academy"/>
    <x v="1"/>
    <x v="19"/>
    <x v="2"/>
    <s v="Male"/>
    <n v="33"/>
    <n v="370"/>
    <n v="671"/>
    <n v="12210"/>
    <n v="22143"/>
    <n v="9933"/>
  </r>
  <r>
    <x v="37"/>
    <s v="Prestige Automobiles"/>
    <x v="2"/>
    <x v="20"/>
    <x v="4"/>
    <s v="Male"/>
    <n v="84"/>
    <n v="908"/>
    <n v="1169"/>
    <n v="76272"/>
    <n v="98196"/>
    <n v="21924"/>
  </r>
  <r>
    <x v="38"/>
    <s v="Urban Pulse Technologies"/>
    <x v="4"/>
    <x v="11"/>
    <x v="1"/>
    <s v="Female"/>
    <n v="43"/>
    <n v="509"/>
    <n v="960"/>
    <n v="21887"/>
    <n v="41280"/>
    <n v="19393"/>
  </r>
  <r>
    <x v="39"/>
    <s v="Radiant Health Systems"/>
    <x v="2"/>
    <x v="4"/>
    <x v="10"/>
    <s v="Male"/>
    <n v="95"/>
    <n v="960"/>
    <n v="1473"/>
    <n v="91200"/>
    <n v="139935"/>
    <n v="48735"/>
  </r>
  <r>
    <x v="40"/>
    <s v="Radiant Health Systems"/>
    <x v="0"/>
    <x v="0"/>
    <x v="14"/>
    <s v="Male"/>
    <n v="19"/>
    <n v="850"/>
    <n v="1234"/>
    <n v="16150"/>
    <n v="23446"/>
    <n v="7296"/>
  </r>
  <r>
    <x v="41"/>
    <s v="Pure Essence Skincare"/>
    <x v="2"/>
    <x v="4"/>
    <x v="12"/>
    <s v="Male"/>
    <n v="41"/>
    <n v="678"/>
    <n v="1031"/>
    <n v="27798"/>
    <n v="42271"/>
    <n v="14473"/>
  </r>
  <r>
    <x v="42"/>
    <s v="Sacred Roots Apparel"/>
    <x v="1"/>
    <x v="3"/>
    <x v="1"/>
    <s v="Male"/>
    <n v="95"/>
    <n v="867"/>
    <n v="1330"/>
    <n v="82365"/>
    <n v="126350"/>
    <n v="43985"/>
  </r>
  <r>
    <x v="43"/>
    <s v="Prestige Automobiles"/>
    <x v="0"/>
    <x v="17"/>
    <x v="5"/>
    <s v="Male"/>
    <n v="23"/>
    <n v="866"/>
    <n v="1210"/>
    <n v="19918"/>
    <n v="27830"/>
    <n v="7912"/>
  </r>
  <r>
    <x v="44"/>
    <s v="Zenith Construction Co."/>
    <x v="1"/>
    <x v="19"/>
    <x v="0"/>
    <s v="Female"/>
    <n v="36"/>
    <n v="949"/>
    <n v="1955"/>
    <n v="34164"/>
    <n v="70380"/>
    <n v="36216"/>
  </r>
  <r>
    <x v="45"/>
    <s v="Brilliant Minds Academy"/>
    <x v="4"/>
    <x v="8"/>
    <x v="12"/>
    <s v="Male"/>
    <n v="21"/>
    <n v="949"/>
    <n v="1568"/>
    <n v="19929"/>
    <n v="32928"/>
    <n v="12999"/>
  </r>
  <r>
    <x v="46"/>
    <s v="Pure Essence Skincare"/>
    <x v="0"/>
    <x v="0"/>
    <x v="6"/>
    <s v="Male"/>
    <n v="91"/>
    <n v="568"/>
    <n v="797"/>
    <n v="51688"/>
    <n v="72527"/>
    <n v="20839"/>
  </r>
  <r>
    <x v="47"/>
    <s v="Sacred Roots Apparel"/>
    <x v="1"/>
    <x v="10"/>
    <x v="13"/>
    <s v="Male"/>
    <n v="24"/>
    <n v="377"/>
    <n v="809"/>
    <n v="9048"/>
    <n v="19416"/>
    <n v="10368"/>
  </r>
  <r>
    <x v="48"/>
    <s v="Elite Marketing Solutions"/>
    <x v="2"/>
    <x v="21"/>
    <x v="2"/>
    <s v="Female"/>
    <n v="84"/>
    <n v="865"/>
    <n v="1202"/>
    <n v="72660"/>
    <n v="100968"/>
    <n v="28308"/>
  </r>
  <r>
    <x v="49"/>
    <s v="Golden Horizon Ventures"/>
    <x v="0"/>
    <x v="22"/>
    <x v="6"/>
    <s v="Male"/>
    <n v="55"/>
    <n v="515"/>
    <n v="977"/>
    <n v="28325"/>
    <n v="53735"/>
    <n v="25410"/>
  </r>
  <r>
    <x v="50"/>
    <s v="Prestige Automobiles"/>
    <x v="0"/>
    <x v="22"/>
    <x v="3"/>
    <s v="Female"/>
    <n v="89"/>
    <n v="458"/>
    <n v="975"/>
    <n v="40762"/>
    <n v="86775"/>
    <n v="46013"/>
  </r>
  <r>
    <x v="51"/>
    <s v="Harmony Foods"/>
    <x v="2"/>
    <x v="14"/>
    <x v="12"/>
    <s v="Female"/>
    <n v="13"/>
    <n v="483"/>
    <n v="941"/>
    <n v="6279"/>
    <n v="12233"/>
    <n v="5954"/>
  </r>
  <r>
    <x v="52"/>
    <s v="Radiant Health Systems"/>
    <x v="4"/>
    <x v="15"/>
    <x v="5"/>
    <s v="Male"/>
    <n v="99"/>
    <n v="410"/>
    <n v="661"/>
    <n v="40590"/>
    <n v="65439"/>
    <n v="24849"/>
  </r>
  <r>
    <x v="53"/>
    <s v="Green Leaf Enterprises"/>
    <x v="4"/>
    <x v="15"/>
    <x v="8"/>
    <s v="Female"/>
    <n v="54"/>
    <n v="612"/>
    <n v="1242"/>
    <n v="33048"/>
    <n v="67068"/>
    <n v="34020"/>
  </r>
  <r>
    <x v="54"/>
    <s v="Harmony Foods"/>
    <x v="2"/>
    <x v="13"/>
    <x v="7"/>
    <s v="Male"/>
    <n v="61"/>
    <n v="636"/>
    <n v="963"/>
    <n v="38796"/>
    <n v="58743"/>
    <n v="19947"/>
  </r>
  <r>
    <x v="55"/>
    <s v="Urban Pulse Technologies"/>
    <x v="3"/>
    <x v="12"/>
    <x v="7"/>
    <s v="Female"/>
    <n v="96"/>
    <n v="849"/>
    <n v="1328"/>
    <n v="81504"/>
    <n v="127488"/>
    <n v="45984"/>
  </r>
  <r>
    <x v="56"/>
    <s v="Bharat Innovations"/>
    <x v="0"/>
    <x v="22"/>
    <x v="9"/>
    <s v="Female"/>
    <n v="14"/>
    <n v="411"/>
    <n v="746"/>
    <n v="5754"/>
    <n v="10444"/>
    <n v="4690"/>
  </r>
  <r>
    <x v="57"/>
    <s v="Divine Creations"/>
    <x v="3"/>
    <x v="16"/>
    <x v="1"/>
    <s v="Male"/>
    <n v="59"/>
    <n v="890"/>
    <n v="1273"/>
    <n v="52510"/>
    <n v="75107"/>
    <n v="22597"/>
  </r>
  <r>
    <x v="58"/>
    <s v="Green Leaf Enterprises"/>
    <x v="4"/>
    <x v="18"/>
    <x v="13"/>
    <s v="Male"/>
    <n v="56"/>
    <n v="741"/>
    <n v="975"/>
    <n v="41496"/>
    <n v="54600"/>
    <n v="13104"/>
  </r>
  <r>
    <x v="59"/>
    <s v="Prestige Automobiles"/>
    <x v="3"/>
    <x v="7"/>
    <x v="6"/>
    <s v="Male"/>
    <n v="48"/>
    <n v="819"/>
    <n v="1264"/>
    <n v="39312"/>
    <n v="60672"/>
    <n v="21360"/>
  </r>
  <r>
    <x v="60"/>
    <s v="TruePath Logistics"/>
    <x v="3"/>
    <x v="16"/>
    <x v="0"/>
    <s v="Female"/>
    <n v="80"/>
    <n v="430"/>
    <n v="615"/>
    <n v="34400"/>
    <n v="49200"/>
    <n v="14800"/>
  </r>
  <r>
    <x v="61"/>
    <s v="Prestige Automobiles"/>
    <x v="4"/>
    <x v="15"/>
    <x v="1"/>
    <s v="Female"/>
    <n v="61"/>
    <n v="861"/>
    <n v="1758"/>
    <n v="52521"/>
    <n v="107238"/>
    <n v="54717"/>
  </r>
  <r>
    <x v="62"/>
    <s v="Zenith Construction Co."/>
    <x v="3"/>
    <x v="6"/>
    <x v="10"/>
    <s v="Female"/>
    <n v="69"/>
    <n v="752"/>
    <n v="1255"/>
    <n v="51888"/>
    <n v="86595"/>
    <n v="34707"/>
  </r>
  <r>
    <x v="63"/>
    <s v="Apex Solutions"/>
    <x v="1"/>
    <x v="10"/>
    <x v="3"/>
    <s v="Male"/>
    <n v="94"/>
    <n v="386"/>
    <n v="586"/>
    <n v="36284"/>
    <n v="55084"/>
    <n v="18800"/>
  </r>
  <r>
    <x v="64"/>
    <s v="Prestige Automobiles"/>
    <x v="1"/>
    <x v="3"/>
    <x v="4"/>
    <s v="Male"/>
    <n v="96"/>
    <n v="617"/>
    <n v="902"/>
    <n v="59232"/>
    <n v="86592"/>
    <n v="27360"/>
  </r>
  <r>
    <x v="65"/>
    <s v="Apex Solutions"/>
    <x v="2"/>
    <x v="13"/>
    <x v="2"/>
    <s v="Male"/>
    <n v="70"/>
    <n v="925"/>
    <n v="1902"/>
    <n v="64750"/>
    <n v="133140"/>
    <n v="68390"/>
  </r>
  <r>
    <x v="66"/>
    <s v="Urban Pulse Technologies"/>
    <x v="4"/>
    <x v="9"/>
    <x v="12"/>
    <s v="Male"/>
    <n v="99"/>
    <n v="693"/>
    <n v="1191"/>
    <n v="68607"/>
    <n v="117909"/>
    <n v="49302"/>
  </r>
  <r>
    <x v="67"/>
    <s v="Harmony Foods"/>
    <x v="2"/>
    <x v="13"/>
    <x v="12"/>
    <s v="Male"/>
    <n v="64"/>
    <n v="524"/>
    <n v="742"/>
    <n v="33536"/>
    <n v="47488"/>
    <n v="13952"/>
  </r>
  <r>
    <x v="68"/>
    <s v="Elite Marketing Solutions"/>
    <x v="1"/>
    <x v="10"/>
    <x v="2"/>
    <s v="Male"/>
    <n v="25"/>
    <n v="767"/>
    <n v="1055"/>
    <n v="19175"/>
    <n v="26375"/>
    <n v="7200"/>
  </r>
  <r>
    <x v="69"/>
    <s v="Sacred Roots Apparel"/>
    <x v="1"/>
    <x v="2"/>
    <x v="1"/>
    <s v="Female"/>
    <n v="66"/>
    <n v="927"/>
    <n v="1876"/>
    <n v="61182"/>
    <n v="123816"/>
    <n v="62634"/>
  </r>
  <r>
    <x v="70"/>
    <s v="Brilliant Minds Academy"/>
    <x v="4"/>
    <x v="11"/>
    <x v="14"/>
    <s v="Male"/>
    <n v="70"/>
    <n v="760"/>
    <n v="1137"/>
    <n v="53200"/>
    <n v="79590"/>
    <n v="26390"/>
  </r>
  <r>
    <x v="71"/>
    <s v="Harmony Foods"/>
    <x v="3"/>
    <x v="7"/>
    <x v="14"/>
    <s v="Male"/>
    <n v="45"/>
    <n v="750"/>
    <n v="992"/>
    <n v="33750"/>
    <n v="44640"/>
    <n v="10890"/>
  </r>
  <r>
    <x v="72"/>
    <s v="Zenith Construction Co."/>
    <x v="2"/>
    <x v="4"/>
    <x v="6"/>
    <s v="Female"/>
    <n v="79"/>
    <n v="382"/>
    <n v="527"/>
    <n v="30178"/>
    <n v="41633"/>
    <n v="11455"/>
  </r>
  <r>
    <x v="73"/>
    <s v="Harmony Foods"/>
    <x v="4"/>
    <x v="15"/>
    <x v="0"/>
    <s v="Male"/>
    <n v="18"/>
    <n v="724"/>
    <n v="1185"/>
    <n v="13032"/>
    <n v="21330"/>
    <n v="8298"/>
  </r>
  <r>
    <x v="74"/>
    <s v="Visionary Holdings"/>
    <x v="4"/>
    <x v="9"/>
    <x v="2"/>
    <s v="Male"/>
    <n v="63"/>
    <n v="698"/>
    <n v="1472"/>
    <n v="43974"/>
    <n v="92736"/>
    <n v="48762"/>
  </r>
  <r>
    <x v="75"/>
    <s v="Stellar Design Studio"/>
    <x v="0"/>
    <x v="5"/>
    <x v="10"/>
    <s v="Female"/>
    <n v="10"/>
    <n v="660"/>
    <n v="1012"/>
    <n v="6600"/>
    <n v="10120"/>
    <n v="3520"/>
  </r>
  <r>
    <x v="76"/>
    <s v="Metro Tech Solutions"/>
    <x v="4"/>
    <x v="11"/>
    <x v="0"/>
    <s v="Male"/>
    <n v="72"/>
    <n v="524"/>
    <n v="790"/>
    <n v="37728"/>
    <n v="56880"/>
    <n v="19152"/>
  </r>
  <r>
    <x v="77"/>
    <s v="Quantum Finance Services"/>
    <x v="0"/>
    <x v="23"/>
    <x v="6"/>
    <s v="Female"/>
    <n v="31"/>
    <n v="778"/>
    <n v="1652"/>
    <n v="24118"/>
    <n v="51212"/>
    <n v="27094"/>
  </r>
  <r>
    <x v="78"/>
    <s v="Classic Cultures"/>
    <x v="1"/>
    <x v="1"/>
    <x v="12"/>
    <s v="Female"/>
    <n v="85"/>
    <n v="877"/>
    <n v="1648"/>
    <n v="74545"/>
    <n v="140080"/>
    <n v="65535"/>
  </r>
  <r>
    <x v="79"/>
    <s v="Urban Pulse Technologies"/>
    <x v="4"/>
    <x v="15"/>
    <x v="11"/>
    <s v="Female"/>
    <n v="33"/>
    <n v="351"/>
    <n v="525"/>
    <n v="11583"/>
    <n v="17325"/>
    <n v="5742"/>
  </r>
  <r>
    <x v="80"/>
    <s v="Radiant Health Systems"/>
    <x v="2"/>
    <x v="20"/>
    <x v="6"/>
    <s v="Female"/>
    <n v="58"/>
    <n v="584"/>
    <n v="1147"/>
    <n v="33872"/>
    <n v="66526"/>
    <n v="32654"/>
  </r>
  <r>
    <x v="81"/>
    <s v="TruePath Logistics"/>
    <x v="3"/>
    <x v="24"/>
    <x v="14"/>
    <s v="Male"/>
    <n v="79"/>
    <n v="353"/>
    <n v="776"/>
    <n v="27887"/>
    <n v="61304"/>
    <n v="33417"/>
  </r>
  <r>
    <x v="82"/>
    <s v="Divine Creations"/>
    <x v="2"/>
    <x v="13"/>
    <x v="3"/>
    <s v="Male"/>
    <n v="13"/>
    <n v="553"/>
    <n v="795"/>
    <n v="7189"/>
    <n v="10335"/>
    <n v="3146"/>
  </r>
  <r>
    <x v="83"/>
    <s v="Bharat Innovations"/>
    <x v="1"/>
    <x v="19"/>
    <x v="8"/>
    <s v="Male"/>
    <n v="70"/>
    <n v="985"/>
    <n v="1338"/>
    <n v="68950"/>
    <n v="93660"/>
    <n v="24710"/>
  </r>
  <r>
    <x v="84"/>
    <s v="Apex Solutions"/>
    <x v="4"/>
    <x v="8"/>
    <x v="3"/>
    <s v="Female"/>
    <n v="31"/>
    <n v="920"/>
    <n v="1680"/>
    <n v="28520"/>
    <n v="52080"/>
    <n v="23560"/>
  </r>
  <r>
    <x v="85"/>
    <s v="Natural Bliss Beverages"/>
    <x v="0"/>
    <x v="17"/>
    <x v="5"/>
    <s v="Male"/>
    <n v="84"/>
    <n v="326"/>
    <n v="695"/>
    <n v="27384"/>
    <n v="58380"/>
    <n v="30996"/>
  </r>
  <r>
    <x v="86"/>
    <s v="Stellar Design Studio"/>
    <x v="4"/>
    <x v="9"/>
    <x v="0"/>
    <s v="Male"/>
    <n v="19"/>
    <n v="906"/>
    <n v="1726"/>
    <n v="17214"/>
    <n v="32794"/>
    <n v="15580"/>
  </r>
  <r>
    <x v="87"/>
    <s v="Solid Ventures"/>
    <x v="2"/>
    <x v="13"/>
    <x v="0"/>
    <s v="Female"/>
    <n v="97"/>
    <n v="914"/>
    <n v="1841"/>
    <n v="88658"/>
    <n v="178577"/>
    <n v="89919"/>
  </r>
  <r>
    <x v="88"/>
    <s v="Stellar Design Studio"/>
    <x v="0"/>
    <x v="22"/>
    <x v="13"/>
    <s v="Female"/>
    <n v="94"/>
    <n v="679"/>
    <n v="893"/>
    <n v="63826"/>
    <n v="83942"/>
    <n v="20116"/>
  </r>
  <r>
    <x v="89"/>
    <s v="Solid Ventures"/>
    <x v="3"/>
    <x v="24"/>
    <x v="11"/>
    <s v="Female"/>
    <n v="72"/>
    <n v="408"/>
    <n v="678"/>
    <n v="29376"/>
    <n v="48816"/>
    <n v="19440"/>
  </r>
  <r>
    <x v="0"/>
    <s v="Divine Creations"/>
    <x v="4"/>
    <x v="15"/>
    <x v="10"/>
    <s v="Male"/>
    <n v="76"/>
    <n v="966"/>
    <n v="1455"/>
    <n v="73416"/>
    <n v="110580"/>
    <n v="37164"/>
  </r>
  <r>
    <x v="1"/>
    <s v="Visionary Holdings"/>
    <x v="4"/>
    <x v="9"/>
    <x v="10"/>
    <s v="Female"/>
    <n v="51"/>
    <n v="551"/>
    <n v="1123"/>
    <n v="28101"/>
    <n v="57273"/>
    <n v="29172"/>
  </r>
  <r>
    <x v="2"/>
    <s v="Urban Pulse Technologies"/>
    <x v="3"/>
    <x v="16"/>
    <x v="8"/>
    <s v="Female"/>
    <n v="82"/>
    <n v="924"/>
    <n v="1741"/>
    <n v="75768"/>
    <n v="142762"/>
    <n v="66994"/>
  </r>
  <r>
    <x v="3"/>
    <s v="Radiant Health Systems"/>
    <x v="0"/>
    <x v="23"/>
    <x v="11"/>
    <s v="Female"/>
    <n v="33"/>
    <n v="799"/>
    <n v="1159"/>
    <n v="26367"/>
    <n v="38247"/>
    <n v="11880"/>
  </r>
  <r>
    <x v="4"/>
    <s v="Pure Essence Skincare"/>
    <x v="3"/>
    <x v="12"/>
    <x v="12"/>
    <s v="Female"/>
    <n v="81"/>
    <n v="310"/>
    <n v="539"/>
    <n v="25110"/>
    <n v="43659"/>
    <n v="18549"/>
  </r>
  <r>
    <x v="5"/>
    <s v="Apex Solutions"/>
    <x v="0"/>
    <x v="17"/>
    <x v="0"/>
    <s v="Female"/>
    <n v="72"/>
    <n v="868"/>
    <n v="1710"/>
    <n v="62496"/>
    <n v="123120"/>
    <n v="60624"/>
  </r>
  <r>
    <x v="6"/>
    <s v="Elite Marketing Solutions"/>
    <x v="4"/>
    <x v="9"/>
    <x v="14"/>
    <s v="Male"/>
    <n v="21"/>
    <n v="601"/>
    <n v="877"/>
    <n v="12621"/>
    <n v="18417"/>
    <n v="5796"/>
  </r>
  <r>
    <x v="7"/>
    <s v="Elite Marketing Solutions"/>
    <x v="2"/>
    <x v="4"/>
    <x v="7"/>
    <s v="Female"/>
    <n v="70"/>
    <n v="866"/>
    <n v="1519"/>
    <n v="60620"/>
    <n v="106330"/>
    <n v="45710"/>
  </r>
  <r>
    <x v="8"/>
    <s v="TruePath Logistics"/>
    <x v="1"/>
    <x v="3"/>
    <x v="6"/>
    <s v="Female"/>
    <n v="44"/>
    <n v="613"/>
    <n v="912"/>
    <n v="26972"/>
    <n v="40128"/>
    <n v="13156"/>
  </r>
  <r>
    <x v="9"/>
    <s v="Mystic India Exports"/>
    <x v="2"/>
    <x v="4"/>
    <x v="4"/>
    <s v="Male"/>
    <n v="34"/>
    <n v="521"/>
    <n v="1016"/>
    <n v="17714"/>
    <n v="34544"/>
    <n v="16830"/>
  </r>
  <r>
    <x v="10"/>
    <s v="Pure Essence Skincare"/>
    <x v="1"/>
    <x v="2"/>
    <x v="1"/>
    <s v="Female"/>
    <n v="22"/>
    <n v="498"/>
    <n v="762"/>
    <n v="10956"/>
    <n v="16764"/>
    <n v="5808"/>
  </r>
  <r>
    <x v="11"/>
    <s v="Divine Creations"/>
    <x v="2"/>
    <x v="4"/>
    <x v="2"/>
    <s v="Male"/>
    <n v="45"/>
    <n v="346"/>
    <n v="752"/>
    <n v="15570"/>
    <n v="33840"/>
    <n v="18270"/>
  </r>
  <r>
    <x v="12"/>
    <s v="Visionary Holdings"/>
    <x v="3"/>
    <x v="6"/>
    <x v="7"/>
    <s v="Female"/>
    <n v="23"/>
    <n v="312"/>
    <n v="560"/>
    <n v="7176"/>
    <n v="12880"/>
    <n v="5704"/>
  </r>
  <r>
    <x v="13"/>
    <s v="Quantum Finance Services"/>
    <x v="4"/>
    <x v="9"/>
    <x v="6"/>
    <s v="Male"/>
    <n v="16"/>
    <n v="558"/>
    <n v="1196"/>
    <n v="8928"/>
    <n v="19136"/>
    <n v="10208"/>
  </r>
  <r>
    <x v="14"/>
    <s v="Quantum Finance Services"/>
    <x v="0"/>
    <x v="0"/>
    <x v="10"/>
    <s v="Female"/>
    <n v="19"/>
    <n v="890"/>
    <n v="1644"/>
    <n v="16910"/>
    <n v="31236"/>
    <n v="14326"/>
  </r>
  <r>
    <x v="15"/>
    <s v="Green Leaf Enterprises"/>
    <x v="2"/>
    <x v="14"/>
    <x v="3"/>
    <s v="Female"/>
    <n v="20"/>
    <n v="554"/>
    <n v="754"/>
    <n v="11080"/>
    <n v="15080"/>
    <n v="4000"/>
  </r>
  <r>
    <x v="16"/>
    <s v="TruePath Logistics"/>
    <x v="1"/>
    <x v="2"/>
    <x v="3"/>
    <s v="Male"/>
    <n v="76"/>
    <n v="689"/>
    <n v="1156"/>
    <n v="52364"/>
    <n v="87856"/>
    <n v="35492"/>
  </r>
  <r>
    <x v="17"/>
    <s v="Sacred Roots Apparel"/>
    <x v="3"/>
    <x v="7"/>
    <x v="10"/>
    <s v="Female"/>
    <n v="82"/>
    <n v="935"/>
    <n v="1222"/>
    <n v="76670"/>
    <n v="100204"/>
    <n v="23534"/>
  </r>
  <r>
    <x v="18"/>
    <s v="Natural Bliss Beverages"/>
    <x v="0"/>
    <x v="17"/>
    <x v="7"/>
    <s v="Male"/>
    <n v="43"/>
    <n v="976"/>
    <n v="1295"/>
    <n v="41968"/>
    <n v="55685"/>
    <n v="13717"/>
  </r>
  <r>
    <x v="19"/>
    <s v="Harmony Foods"/>
    <x v="2"/>
    <x v="21"/>
    <x v="4"/>
    <s v="Male"/>
    <n v="10"/>
    <n v="718"/>
    <n v="1204"/>
    <n v="7180"/>
    <n v="12040"/>
    <n v="4860"/>
  </r>
  <r>
    <x v="20"/>
    <s v="Classic Cultures"/>
    <x v="4"/>
    <x v="8"/>
    <x v="2"/>
    <s v="Male"/>
    <n v="46"/>
    <n v="589"/>
    <n v="1129"/>
    <n v="27094"/>
    <n v="51934"/>
    <n v="24840"/>
  </r>
  <r>
    <x v="21"/>
    <s v="Sacred Roots Apparel"/>
    <x v="0"/>
    <x v="17"/>
    <x v="12"/>
    <s v="Female"/>
    <n v="90"/>
    <n v="903"/>
    <n v="1695"/>
    <n v="81270"/>
    <n v="152550"/>
    <n v="71280"/>
  </r>
  <r>
    <x v="22"/>
    <s v="Apex Solutions"/>
    <x v="4"/>
    <x v="18"/>
    <x v="13"/>
    <s v="Male"/>
    <n v="92"/>
    <n v="452"/>
    <n v="955"/>
    <n v="41584"/>
    <n v="87860"/>
    <n v="46276"/>
  </r>
  <r>
    <x v="23"/>
    <s v="Golden Horizon Ventures"/>
    <x v="0"/>
    <x v="0"/>
    <x v="9"/>
    <s v="Female"/>
    <n v="86"/>
    <n v="882"/>
    <n v="1874"/>
    <n v="75852"/>
    <n v="161164"/>
    <n v="85312"/>
  </r>
  <r>
    <x v="24"/>
    <s v="Sacred Roots Apparel"/>
    <x v="0"/>
    <x v="23"/>
    <x v="0"/>
    <s v="Female"/>
    <n v="99"/>
    <n v="712"/>
    <n v="1527"/>
    <n v="70488"/>
    <n v="151173"/>
    <n v="80685"/>
  </r>
  <r>
    <x v="25"/>
    <s v="Brilliant Minds Academy"/>
    <x v="1"/>
    <x v="10"/>
    <x v="14"/>
    <s v="Male"/>
    <n v="86"/>
    <n v="340"/>
    <n v="712"/>
    <n v="29240"/>
    <n v="61232"/>
    <n v="31992"/>
  </r>
  <r>
    <x v="26"/>
    <s v="Natural Bliss Beverages"/>
    <x v="3"/>
    <x v="7"/>
    <x v="5"/>
    <s v="Male"/>
    <n v="21"/>
    <n v="534"/>
    <n v="1155"/>
    <n v="11214"/>
    <n v="24255"/>
    <n v="13041"/>
  </r>
  <r>
    <x v="27"/>
    <s v="Stellar Design Studio"/>
    <x v="1"/>
    <x v="1"/>
    <x v="3"/>
    <s v="Female"/>
    <n v="83"/>
    <n v="341"/>
    <n v="673"/>
    <n v="28303"/>
    <n v="55859"/>
    <n v="27556"/>
  </r>
  <r>
    <x v="28"/>
    <s v="Eternal Traditions"/>
    <x v="4"/>
    <x v="11"/>
    <x v="7"/>
    <s v="Female"/>
    <n v="45"/>
    <n v="485"/>
    <n v="1065"/>
    <n v="21825"/>
    <n v="47925"/>
    <n v="26100"/>
  </r>
  <r>
    <x v="29"/>
    <s v="TruePath Logistics"/>
    <x v="4"/>
    <x v="18"/>
    <x v="14"/>
    <s v="Female"/>
    <n v="62"/>
    <n v="641"/>
    <n v="996"/>
    <n v="39742"/>
    <n v="61752"/>
    <n v="22010"/>
  </r>
  <r>
    <x v="30"/>
    <s v="Mystic India Exports"/>
    <x v="2"/>
    <x v="4"/>
    <x v="10"/>
    <s v="Female"/>
    <n v="46"/>
    <n v="978"/>
    <n v="2100"/>
    <n v="44988"/>
    <n v="96600"/>
    <n v="51612"/>
  </r>
  <r>
    <x v="31"/>
    <s v="Visionary Holdings"/>
    <x v="0"/>
    <x v="23"/>
    <x v="4"/>
    <s v="Female"/>
    <n v="42"/>
    <n v="631"/>
    <n v="858"/>
    <n v="26502"/>
    <n v="36036"/>
    <n v="9534"/>
  </r>
  <r>
    <x v="32"/>
    <s v="Metro Tech Solutions"/>
    <x v="1"/>
    <x v="1"/>
    <x v="7"/>
    <s v="Female"/>
    <n v="62"/>
    <n v="355"/>
    <n v="507"/>
    <n v="22010"/>
    <n v="31434"/>
    <n v="9424"/>
  </r>
  <r>
    <x v="33"/>
    <s v="Divine Creations"/>
    <x v="1"/>
    <x v="10"/>
    <x v="7"/>
    <s v="Female"/>
    <n v="16"/>
    <n v="508"/>
    <n v="763"/>
    <n v="8128"/>
    <n v="12208"/>
    <n v="4080"/>
  </r>
  <r>
    <x v="34"/>
    <s v="Golden Horizon Ventures"/>
    <x v="3"/>
    <x v="16"/>
    <x v="12"/>
    <s v="Female"/>
    <n v="25"/>
    <n v="329"/>
    <n v="715"/>
    <n v="8225"/>
    <n v="17875"/>
    <n v="9650"/>
  </r>
  <r>
    <x v="35"/>
    <s v="Classic Cultures"/>
    <x v="2"/>
    <x v="14"/>
    <x v="5"/>
    <s v="Male"/>
    <n v="80"/>
    <n v="717"/>
    <n v="959"/>
    <n v="57360"/>
    <n v="76720"/>
    <n v="19360"/>
  </r>
  <r>
    <x v="36"/>
    <s v="Mystic India Exports"/>
    <x v="4"/>
    <x v="18"/>
    <x v="7"/>
    <s v="Male"/>
    <n v="73"/>
    <n v="598"/>
    <n v="1036"/>
    <n v="43654"/>
    <n v="75628"/>
    <n v="31974"/>
  </r>
  <r>
    <x v="37"/>
    <s v="Pure Essence Skincare"/>
    <x v="4"/>
    <x v="9"/>
    <x v="14"/>
    <s v="Male"/>
    <n v="68"/>
    <n v="864"/>
    <n v="1198"/>
    <n v="58752"/>
    <n v="81464"/>
    <n v="22712"/>
  </r>
  <r>
    <x v="38"/>
    <s v="Apex Solutions"/>
    <x v="1"/>
    <x v="2"/>
    <x v="0"/>
    <s v="Male"/>
    <n v="18"/>
    <n v="582"/>
    <n v="1154"/>
    <n v="10476"/>
    <n v="20772"/>
    <n v="10296"/>
  </r>
  <r>
    <x v="39"/>
    <s v="TruePath Logistics"/>
    <x v="3"/>
    <x v="7"/>
    <x v="5"/>
    <s v="Male"/>
    <n v="46"/>
    <n v="605"/>
    <n v="1237"/>
    <n v="27830"/>
    <n v="56902"/>
    <n v="29072"/>
  </r>
  <r>
    <x v="40"/>
    <s v="Stellar Design Studio"/>
    <x v="4"/>
    <x v="15"/>
    <x v="14"/>
    <s v="Female"/>
    <n v="54"/>
    <n v="640"/>
    <n v="1135"/>
    <n v="34560"/>
    <n v="61290"/>
    <n v="26730"/>
  </r>
  <r>
    <x v="41"/>
    <s v="Visionary Holdings"/>
    <x v="4"/>
    <x v="9"/>
    <x v="12"/>
    <s v="Female"/>
    <n v="34"/>
    <n v="544"/>
    <n v="975"/>
    <n v="18496"/>
    <n v="33150"/>
    <n v="14654"/>
  </r>
  <r>
    <x v="42"/>
    <s v="Harmony Foods"/>
    <x v="4"/>
    <x v="18"/>
    <x v="6"/>
    <s v="Female"/>
    <n v="100"/>
    <n v="690"/>
    <n v="1115"/>
    <n v="69000"/>
    <n v="111500"/>
    <n v="42500"/>
  </r>
  <r>
    <x v="43"/>
    <s v="Prestige Automobiles"/>
    <x v="2"/>
    <x v="20"/>
    <x v="2"/>
    <s v="Male"/>
    <n v="74"/>
    <n v="904"/>
    <n v="1415"/>
    <n v="66896"/>
    <n v="104710"/>
    <n v="37814"/>
  </r>
  <r>
    <x v="44"/>
    <s v="Mystic India Exports"/>
    <x v="4"/>
    <x v="18"/>
    <x v="13"/>
    <s v="Female"/>
    <n v="11"/>
    <n v="447"/>
    <n v="732"/>
    <n v="4917"/>
    <n v="8052"/>
    <n v="3135"/>
  </r>
  <r>
    <x v="45"/>
    <s v="Solid Ventures"/>
    <x v="2"/>
    <x v="13"/>
    <x v="14"/>
    <s v="Female"/>
    <n v="53"/>
    <n v="938"/>
    <n v="1789"/>
    <n v="49714"/>
    <n v="94817"/>
    <n v="45103"/>
  </r>
  <r>
    <x v="46"/>
    <s v="Solid Ventures"/>
    <x v="0"/>
    <x v="22"/>
    <x v="11"/>
    <s v="Female"/>
    <n v="50"/>
    <n v="941"/>
    <n v="1818"/>
    <n v="47050"/>
    <n v="90900"/>
    <n v="43850"/>
  </r>
  <r>
    <x v="47"/>
    <s v="Quantum Finance Services"/>
    <x v="1"/>
    <x v="1"/>
    <x v="1"/>
    <s v="Male"/>
    <n v="40"/>
    <n v="946"/>
    <n v="1797"/>
    <n v="37840"/>
    <n v="71880"/>
    <n v="34040"/>
  </r>
  <r>
    <x v="48"/>
    <s v="Zenith Construction Co."/>
    <x v="2"/>
    <x v="13"/>
    <x v="10"/>
    <s v="Male"/>
    <n v="91"/>
    <n v="402"/>
    <n v="671"/>
    <n v="36582"/>
    <n v="61061"/>
    <n v="24479"/>
  </r>
  <r>
    <x v="49"/>
    <s v="Elite Marketing Solutions"/>
    <x v="3"/>
    <x v="24"/>
    <x v="2"/>
    <s v="Female"/>
    <n v="17"/>
    <n v="600"/>
    <n v="954"/>
    <n v="10200"/>
    <n v="16218"/>
    <n v="6018"/>
  </r>
  <r>
    <x v="50"/>
    <s v="TruePath Logistics"/>
    <x v="2"/>
    <x v="14"/>
    <x v="13"/>
    <s v="Female"/>
    <n v="82"/>
    <n v="998"/>
    <n v="1998"/>
    <n v="81836"/>
    <n v="163836"/>
    <n v="82000"/>
  </r>
  <r>
    <x v="51"/>
    <s v="Eternal Traditions"/>
    <x v="2"/>
    <x v="13"/>
    <x v="1"/>
    <s v="Female"/>
    <n v="89"/>
    <n v="999"/>
    <n v="1477"/>
    <n v="88911"/>
    <n v="131453"/>
    <n v="42542"/>
  </r>
  <r>
    <x v="52"/>
    <s v="Stellar Design Studio"/>
    <x v="2"/>
    <x v="14"/>
    <x v="14"/>
    <s v="Female"/>
    <n v="68"/>
    <n v="561"/>
    <n v="1056"/>
    <n v="38148"/>
    <n v="71808"/>
    <n v="33660"/>
  </r>
  <r>
    <x v="53"/>
    <s v="Sacred Roots Apparel"/>
    <x v="3"/>
    <x v="7"/>
    <x v="9"/>
    <s v="Male"/>
    <n v="66"/>
    <n v="653"/>
    <n v="1428"/>
    <n v="43098"/>
    <n v="94248"/>
    <n v="51150"/>
  </r>
  <r>
    <x v="54"/>
    <s v="Zenith Construction Co."/>
    <x v="4"/>
    <x v="8"/>
    <x v="14"/>
    <s v="Female"/>
    <n v="35"/>
    <n v="693"/>
    <n v="1428"/>
    <n v="24255"/>
    <n v="49980"/>
    <n v="25725"/>
  </r>
  <r>
    <x v="55"/>
    <s v="Mystic India Exports"/>
    <x v="2"/>
    <x v="20"/>
    <x v="1"/>
    <s v="Female"/>
    <n v="83"/>
    <n v="602"/>
    <n v="1320"/>
    <n v="49966"/>
    <n v="109560"/>
    <n v="59594"/>
  </r>
  <r>
    <x v="56"/>
    <s v="Zenith Construction Co."/>
    <x v="0"/>
    <x v="23"/>
    <x v="5"/>
    <s v="Male"/>
    <n v="82"/>
    <n v="350"/>
    <n v="740"/>
    <n v="28700"/>
    <n v="60680"/>
    <n v="31980"/>
  </r>
  <r>
    <x v="57"/>
    <s v="Natural Bliss Beverages"/>
    <x v="4"/>
    <x v="8"/>
    <x v="3"/>
    <s v="Male"/>
    <n v="87"/>
    <n v="660"/>
    <n v="962"/>
    <n v="57420"/>
    <n v="83694"/>
    <n v="26274"/>
  </r>
  <r>
    <x v="58"/>
    <s v="Apex Solutions"/>
    <x v="1"/>
    <x v="3"/>
    <x v="7"/>
    <s v="Male"/>
    <n v="90"/>
    <n v="399"/>
    <n v="841"/>
    <n v="35910"/>
    <n v="75690"/>
    <n v="39780"/>
  </r>
  <r>
    <x v="59"/>
    <s v="Solid Ventures"/>
    <x v="0"/>
    <x v="22"/>
    <x v="3"/>
    <s v="Female"/>
    <n v="14"/>
    <n v="893"/>
    <n v="1425"/>
    <n v="12502"/>
    <n v="19950"/>
    <n v="74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67D330-B34C-4BE9-B446-F26D2DAF4F1A}" name="stateswi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13:V29" firstHeaderRow="1" firstDataRow="1" firstDataCol="1"/>
  <pivotFields count="14">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items count="6">
        <item x="1"/>
        <item x="0"/>
        <item x="2"/>
        <item x="3"/>
        <item x="4"/>
        <item t="default"/>
      </items>
    </pivotField>
    <pivotField showAll="0">
      <items count="26">
        <item x="2"/>
        <item x="19"/>
        <item x="16"/>
        <item x="1"/>
        <item x="12"/>
        <item x="17"/>
        <item x="8"/>
        <item x="9"/>
        <item x="3"/>
        <item x="21"/>
        <item x="4"/>
        <item x="6"/>
        <item x="22"/>
        <item x="14"/>
        <item x="20"/>
        <item x="15"/>
        <item x="23"/>
        <item x="24"/>
        <item x="0"/>
        <item x="7"/>
        <item x="11"/>
        <item x="5"/>
        <item x="10"/>
        <item x="18"/>
        <item x="13"/>
        <item t="default"/>
      </items>
    </pivotField>
    <pivotField axis="axisRow" showAll="0">
      <items count="16">
        <item x="0"/>
        <item x="1"/>
        <item x="12"/>
        <item x="2"/>
        <item x="10"/>
        <item x="11"/>
        <item x="5"/>
        <item x="7"/>
        <item x="4"/>
        <item x="3"/>
        <item x="14"/>
        <item x="8"/>
        <item x="6"/>
        <item x="13"/>
        <item x="9"/>
        <item t="default"/>
      </items>
    </pivotField>
    <pivotField showAll="0"/>
    <pivotField showAll="0"/>
    <pivotField numFmtId="3" showAll="0"/>
    <pivotField numFmtId="3" showAll="0"/>
    <pivotField numFmtId="3" showAll="0"/>
    <pivotField dataField="1" numFmtId="3"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Sum of Sale Price" fld="10"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65505A-F315-4C9B-AEAB-13D563774741}" name="Total Sal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1" rowHeaderCaption=" ">
  <location ref="A13:B19" firstHeaderRow="1" firstDataRow="1" firstDataCol="1"/>
  <pivotFields count="14">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axis="axisRow" showAll="0">
      <items count="6">
        <item x="1"/>
        <item x="0"/>
        <item x="2"/>
        <item x="3"/>
        <item x="4"/>
        <item t="default"/>
      </items>
    </pivotField>
    <pivotField showAll="0"/>
    <pivotField showAll="0"/>
    <pivotField showAll="0"/>
    <pivotField showAll="0"/>
    <pivotField numFmtId="3" showAll="0"/>
    <pivotField numFmtId="3" showAll="0"/>
    <pivotField numFmtId="3" showAll="0"/>
    <pivotField dataField="1" numFmtId="3" showAll="0"/>
    <pivotField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Sale Price" fld="10" baseField="0" baseItem="0" numFmtId="3"/>
  </dataFields>
  <chartFormats count="1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0"/>
          </reference>
        </references>
      </pivotArea>
    </chartFormat>
    <chartFormat chart="6" format="2">
      <pivotArea type="data" outline="0" fieldPosition="0">
        <references count="2">
          <reference field="4294967294" count="1" selected="0">
            <x v="0"/>
          </reference>
          <reference field="2" count="1" selected="0">
            <x v="1"/>
          </reference>
        </references>
      </pivotArea>
    </chartFormat>
    <chartFormat chart="6" format="3">
      <pivotArea type="data" outline="0" fieldPosition="0">
        <references count="2">
          <reference field="4294967294" count="1" selected="0">
            <x v="0"/>
          </reference>
          <reference field="2" count="1" selected="0">
            <x v="2"/>
          </reference>
        </references>
      </pivotArea>
    </chartFormat>
    <chartFormat chart="6" format="4">
      <pivotArea type="data" outline="0" fieldPosition="0">
        <references count="2">
          <reference field="4294967294" count="1" selected="0">
            <x v="0"/>
          </reference>
          <reference field="2" count="1" selected="0">
            <x v="3"/>
          </reference>
        </references>
      </pivotArea>
    </chartFormat>
    <chartFormat chart="6" format="5">
      <pivotArea type="data" outline="0" fieldPosition="0">
        <references count="2">
          <reference field="4294967294" count="1" selected="0">
            <x v="0"/>
          </reference>
          <reference field="2" count="1" selected="0">
            <x v="4"/>
          </reference>
        </references>
      </pivotArea>
    </chartFormat>
    <chartFormat chart="417" format="6" series="1">
      <pivotArea type="data" outline="0" fieldPosition="0">
        <references count="1">
          <reference field="4294967294" count="1" selected="0">
            <x v="0"/>
          </reference>
        </references>
      </pivotArea>
    </chartFormat>
    <chartFormat chart="417" format="7">
      <pivotArea type="data" outline="0" fieldPosition="0">
        <references count="2">
          <reference field="4294967294" count="1" selected="0">
            <x v="0"/>
          </reference>
          <reference field="2" count="1" selected="0">
            <x v="0"/>
          </reference>
        </references>
      </pivotArea>
    </chartFormat>
    <chartFormat chart="417" format="8">
      <pivotArea type="data" outline="0" fieldPosition="0">
        <references count="2">
          <reference field="4294967294" count="1" selected="0">
            <x v="0"/>
          </reference>
          <reference field="2" count="1" selected="0">
            <x v="2"/>
          </reference>
        </references>
      </pivotArea>
    </chartFormat>
    <chartFormat chart="417" format="9">
      <pivotArea type="data" outline="0" fieldPosition="0">
        <references count="2">
          <reference field="4294967294" count="1" selected="0">
            <x v="0"/>
          </reference>
          <reference field="2" count="1" selected="0">
            <x v="3"/>
          </reference>
        </references>
      </pivotArea>
    </chartFormat>
    <chartFormat chart="417" format="10">
      <pivotArea type="data" outline="0" fieldPosition="0">
        <references count="2">
          <reference field="4294967294" count="1" selected="0">
            <x v="0"/>
          </reference>
          <reference field="2" count="1" selected="0">
            <x v="4"/>
          </reference>
        </references>
      </pivotArea>
    </chartFormat>
    <chartFormat chart="418" format="11" series="1">
      <pivotArea type="data" outline="0" fieldPosition="0">
        <references count="1">
          <reference field="4294967294" count="1" selected="0">
            <x v="0"/>
          </reference>
        </references>
      </pivotArea>
    </chartFormat>
    <chartFormat chart="418" format="12">
      <pivotArea type="data" outline="0" fieldPosition="0">
        <references count="2">
          <reference field="4294967294" count="1" selected="0">
            <x v="0"/>
          </reference>
          <reference field="2" count="1" selected="0">
            <x v="0"/>
          </reference>
        </references>
      </pivotArea>
    </chartFormat>
    <chartFormat chart="418" format="13">
      <pivotArea type="data" outline="0" fieldPosition="0">
        <references count="2">
          <reference field="4294967294" count="1" selected="0">
            <x v="0"/>
          </reference>
          <reference field="2" count="1" selected="0">
            <x v="2"/>
          </reference>
        </references>
      </pivotArea>
    </chartFormat>
    <chartFormat chart="418" format="14">
      <pivotArea type="data" outline="0" fieldPosition="0">
        <references count="2">
          <reference field="4294967294" count="1" selected="0">
            <x v="0"/>
          </reference>
          <reference field="2" count="1" selected="0">
            <x v="3"/>
          </reference>
        </references>
      </pivotArea>
    </chartFormat>
    <chartFormat chart="418" format="1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0D5B7F-B9C4-47C2-A2B8-AA68FC5D2A88}" name="prodectwi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3:S39" firstHeaderRow="0" firstDataRow="1" firstDataCol="1"/>
  <pivotFields count="14">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items count="6">
        <item x="1"/>
        <item x="0"/>
        <item x="2"/>
        <item x="3"/>
        <item x="4"/>
        <item t="default"/>
      </items>
    </pivotField>
    <pivotField axis="axisRow" showAll="0">
      <items count="26">
        <item x="2"/>
        <item x="19"/>
        <item x="16"/>
        <item x="1"/>
        <item x="12"/>
        <item x="17"/>
        <item x="8"/>
        <item x="9"/>
        <item x="3"/>
        <item x="21"/>
        <item x="4"/>
        <item x="6"/>
        <item x="22"/>
        <item x="14"/>
        <item x="20"/>
        <item x="15"/>
        <item x="23"/>
        <item x="24"/>
        <item x="0"/>
        <item x="7"/>
        <item x="11"/>
        <item x="5"/>
        <item x="10"/>
        <item x="18"/>
        <item x="13"/>
        <item t="default"/>
      </items>
    </pivotField>
    <pivotField showAll="0"/>
    <pivotField showAll="0"/>
    <pivotField showAll="0"/>
    <pivotField numFmtId="3" showAll="0"/>
    <pivotField numFmtId="3" showAll="0"/>
    <pivotField numFmtId="3" showAll="0"/>
    <pivotField dataField="1" numFmtId="3"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Sum of Sale Price" fld="10" baseField="0" baseItem="0" numFmtId="3"/>
    <dataField name="Sum of Profit" fld="11" showDataAs="percentOfTotal" baseField="0" baseItem="0" numFmtId="10"/>
  </dataFields>
  <formats count="2">
    <format dxfId="13">
      <pivotArea collapsedLevelsAreSubtotals="1" fieldPosition="0">
        <references count="2">
          <reference field="4294967294" count="1" selected="0">
            <x v="1"/>
          </reference>
          <reference field="3" count="1">
            <x v="22"/>
          </reference>
        </references>
      </pivotArea>
    </format>
    <format dxfId="12">
      <pivotArea collapsedLevelsAreSubtotals="1" fieldPosition="0">
        <references count="2">
          <reference field="4294967294" count="1" selected="0">
            <x v="1"/>
          </reference>
          <reference field="3" count="1">
            <x v="2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BE1B26-8A36-4C7E-96EC-95C74A945F9D}" name="Total 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1">
  <location ref="H13:I19" firstHeaderRow="1" firstDataRow="1" firstDataCol="1"/>
  <pivotFields count="14">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axis="axisRow" showAll="0">
      <items count="6">
        <item x="1"/>
        <item x="0"/>
        <item x="2"/>
        <item x="3"/>
        <item x="4"/>
        <item t="default"/>
      </items>
    </pivotField>
    <pivotField showAll="0"/>
    <pivotField showAll="0"/>
    <pivotField showAll="0"/>
    <pivotField showAll="0"/>
    <pivotField numFmtId="3" showAll="0"/>
    <pivotField numFmtId="3" showAll="0"/>
    <pivotField numFmtId="3" showAll="0"/>
    <pivotField numFmtId="3" showAll="0"/>
    <pivotField dataField="1" numFmtId="3"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i>
    <i>
      <x v="1"/>
    </i>
    <i>
      <x v="2"/>
    </i>
    <i>
      <x v="3"/>
    </i>
    <i>
      <x v="4"/>
    </i>
    <i t="grand">
      <x/>
    </i>
  </rowItems>
  <colItems count="1">
    <i/>
  </colItems>
  <dataFields count="1">
    <dataField name="Sum of Profit" fld="11" baseField="0" baseItem="0" numFmtId="3"/>
  </dataFields>
  <chartFormats count="1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2"/>
          </reference>
        </references>
      </pivotArea>
    </chartFormat>
    <chartFormat chart="1" format="3">
      <pivotArea type="data" outline="0" fieldPosition="0">
        <references count="2">
          <reference field="4294967294" count="1" selected="0">
            <x v="0"/>
          </reference>
          <reference field="2" count="1" selected="0">
            <x v="3"/>
          </reference>
        </references>
      </pivotArea>
    </chartFormat>
    <chartFormat chart="1" format="4">
      <pivotArea type="data" outline="0" fieldPosition="0">
        <references count="2">
          <reference field="4294967294" count="1" selected="0">
            <x v="0"/>
          </reference>
          <reference field="2" count="1" selected="0">
            <x v="4"/>
          </reference>
        </references>
      </pivotArea>
    </chartFormat>
    <chartFormat chart="229" format="5" series="1">
      <pivotArea type="data" outline="0" fieldPosition="0">
        <references count="1">
          <reference field="4294967294" count="1" selected="0">
            <x v="0"/>
          </reference>
        </references>
      </pivotArea>
    </chartFormat>
    <chartFormat chart="229" format="6">
      <pivotArea type="data" outline="0" fieldPosition="0">
        <references count="2">
          <reference field="4294967294" count="1" selected="0">
            <x v="0"/>
          </reference>
          <reference field="2" count="1" selected="0">
            <x v="0"/>
          </reference>
        </references>
      </pivotArea>
    </chartFormat>
    <chartFormat chart="229" format="7">
      <pivotArea type="data" outline="0" fieldPosition="0">
        <references count="2">
          <reference field="4294967294" count="1" selected="0">
            <x v="0"/>
          </reference>
          <reference field="2" count="1" selected="0">
            <x v="2"/>
          </reference>
        </references>
      </pivotArea>
    </chartFormat>
    <chartFormat chart="229" format="8">
      <pivotArea type="data" outline="0" fieldPosition="0">
        <references count="2">
          <reference field="4294967294" count="1" selected="0">
            <x v="0"/>
          </reference>
          <reference field="2" count="1" selected="0">
            <x v="3"/>
          </reference>
        </references>
      </pivotArea>
    </chartFormat>
    <chartFormat chart="229" format="9">
      <pivotArea type="data" outline="0" fieldPosition="0">
        <references count="2">
          <reference field="4294967294" count="1" selected="0">
            <x v="0"/>
          </reference>
          <reference field="2" count="1" selected="0">
            <x v="4"/>
          </reference>
        </references>
      </pivotArea>
    </chartFormat>
    <chartFormat chart="230" format="10" series="1">
      <pivotArea type="data" outline="0" fieldPosition="0">
        <references count="1">
          <reference field="4294967294" count="1" selected="0">
            <x v="0"/>
          </reference>
        </references>
      </pivotArea>
    </chartFormat>
    <chartFormat chart="230" format="11">
      <pivotArea type="data" outline="0" fieldPosition="0">
        <references count="2">
          <reference field="4294967294" count="1" selected="0">
            <x v="0"/>
          </reference>
          <reference field="2" count="1" selected="0">
            <x v="0"/>
          </reference>
        </references>
      </pivotArea>
    </chartFormat>
    <chartFormat chart="230" format="12">
      <pivotArea type="data" outline="0" fieldPosition="0">
        <references count="2">
          <reference field="4294967294" count="1" selected="0">
            <x v="0"/>
          </reference>
          <reference field="2" count="1" selected="0">
            <x v="2"/>
          </reference>
        </references>
      </pivotArea>
    </chartFormat>
    <chartFormat chart="230" format="13">
      <pivotArea type="data" outline="0" fieldPosition="0">
        <references count="2">
          <reference field="4294967294" count="1" selected="0">
            <x v="0"/>
          </reference>
          <reference field="2" count="1" selected="0">
            <x v="3"/>
          </reference>
        </references>
      </pivotArea>
    </chartFormat>
    <chartFormat chart="230" format="14">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5E89C4-B5AC-4E2B-9374-BE2F56D07EA2}" name="monthwi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K13:M17" firstHeaderRow="0" firstDataRow="1" firstDataCol="1"/>
  <pivotFields count="14">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items count="6">
        <item x="1"/>
        <item x="0"/>
        <item x="2"/>
        <item x="3"/>
        <item x="4"/>
        <item t="default"/>
      </items>
    </pivotField>
    <pivotField showAll="0"/>
    <pivotField showAll="0"/>
    <pivotField showAll="0"/>
    <pivotField showAll="0"/>
    <pivotField numFmtId="3" showAll="0"/>
    <pivotField numFmtId="3" showAll="0"/>
    <pivotField numFmtId="3" showAll="0"/>
    <pivotField dataField="1" numFmtId="3"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4">
    <i>
      <x v="4"/>
    </i>
    <i>
      <x v="5"/>
    </i>
    <i>
      <x v="6"/>
    </i>
    <i t="grand">
      <x/>
    </i>
  </rowItems>
  <colFields count="1">
    <field x="-2"/>
  </colFields>
  <colItems count="2">
    <i>
      <x/>
    </i>
    <i i="1">
      <x v="1"/>
    </i>
  </colItems>
  <dataFields count="2">
    <dataField name="Sum of Sale Price" fld="10" baseField="0" baseItem="0" numFmtId="3"/>
    <dataField name="Sum of Profit" fld="11" baseField="0" baseItem="0" numFmtId="3"/>
  </dataFields>
  <chartFormats count="4">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23F481-0644-4963-9826-DB69F7C480C8}" name="Total Purchas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1">
  <location ref="D13:E19" firstHeaderRow="1" firstDataRow="1" firstDataCol="1"/>
  <pivotFields count="14">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axis="axisRow" showAll="0">
      <items count="6">
        <item x="1"/>
        <item x="0"/>
        <item x="2"/>
        <item x="3"/>
        <item x="4"/>
        <item t="default"/>
      </items>
    </pivotField>
    <pivotField showAll="0"/>
    <pivotField showAll="0"/>
    <pivotField showAll="0"/>
    <pivotField showAll="0"/>
    <pivotField numFmtId="3" showAll="0"/>
    <pivotField numFmtId="3" showAll="0"/>
    <pivotField dataField="1" numFmtId="3" showAll="0"/>
    <pivotField numFmtId="3" showAll="0"/>
    <pivotField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Purchase Cost" fld="9" baseField="0" baseItem="0" numFmtId="3"/>
  </dataFields>
  <chartFormats count="28">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2" count="1" selected="0">
            <x v="0"/>
          </reference>
        </references>
      </pivotArea>
    </chartFormat>
    <chartFormat chart="5" format="3">
      <pivotArea type="data" outline="0" fieldPosition="0">
        <references count="2">
          <reference field="4294967294" count="1" selected="0">
            <x v="0"/>
          </reference>
          <reference field="2" count="1" selected="0">
            <x v="1"/>
          </reference>
        </references>
      </pivotArea>
    </chartFormat>
    <chartFormat chart="5" format="4">
      <pivotArea type="data" outline="0" fieldPosition="0">
        <references count="2">
          <reference field="4294967294" count="1" selected="0">
            <x v="0"/>
          </reference>
          <reference field="2" count="1" selected="0">
            <x v="2"/>
          </reference>
        </references>
      </pivotArea>
    </chartFormat>
    <chartFormat chart="5" format="5">
      <pivotArea type="data" outline="0" fieldPosition="0">
        <references count="2">
          <reference field="4294967294" count="1" selected="0">
            <x v="0"/>
          </reference>
          <reference field="2" count="1" selected="0">
            <x v="3"/>
          </reference>
        </references>
      </pivotArea>
    </chartFormat>
    <chartFormat chart="5" format="6">
      <pivotArea type="data" outline="0" fieldPosition="0">
        <references count="2">
          <reference field="4294967294" count="1" selected="0">
            <x v="0"/>
          </reference>
          <reference field="2" count="1" selected="0">
            <x v="4"/>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2" count="1" selected="0">
            <x v="0"/>
          </reference>
        </references>
      </pivotArea>
    </chartFormat>
    <chartFormat chart="7" format="2">
      <pivotArea type="data" outline="0" fieldPosition="0">
        <references count="2">
          <reference field="4294967294" count="1" selected="0">
            <x v="0"/>
          </reference>
          <reference field="2" count="1" selected="0">
            <x v="1"/>
          </reference>
        </references>
      </pivotArea>
    </chartFormat>
    <chartFormat chart="7" format="3">
      <pivotArea type="data" outline="0" fieldPosition="0">
        <references count="2">
          <reference field="4294967294" count="1" selected="0">
            <x v="0"/>
          </reference>
          <reference field="2" count="1" selected="0">
            <x v="2"/>
          </reference>
        </references>
      </pivotArea>
    </chartFormat>
    <chartFormat chart="7" format="4">
      <pivotArea type="data" outline="0" fieldPosition="0">
        <references count="2">
          <reference field="4294967294" count="1" selected="0">
            <x v="0"/>
          </reference>
          <reference field="2" count="1" selected="0">
            <x v="3"/>
          </reference>
        </references>
      </pivotArea>
    </chartFormat>
    <chartFormat chart="7" format="5">
      <pivotArea type="data" outline="0" fieldPosition="0">
        <references count="2">
          <reference field="4294967294" count="1" selected="0">
            <x v="0"/>
          </reference>
          <reference field="2" count="1" selected="0">
            <x v="4"/>
          </reference>
        </references>
      </pivotArea>
    </chartFormat>
    <chartFormat chart="405" format="6" series="1">
      <pivotArea type="data" outline="0" fieldPosition="0">
        <references count="1">
          <reference field="4294967294" count="1" selected="0">
            <x v="0"/>
          </reference>
        </references>
      </pivotArea>
    </chartFormat>
    <chartFormat chart="405" format="7">
      <pivotArea type="data" outline="0" fieldPosition="0">
        <references count="2">
          <reference field="4294967294" count="1" selected="0">
            <x v="0"/>
          </reference>
          <reference field="2" count="1" selected="0">
            <x v="0"/>
          </reference>
        </references>
      </pivotArea>
    </chartFormat>
    <chartFormat chart="405" format="8">
      <pivotArea type="data" outline="0" fieldPosition="0">
        <references count="2">
          <reference field="4294967294" count="1" selected="0">
            <x v="0"/>
          </reference>
          <reference field="2" count="1" selected="0">
            <x v="2"/>
          </reference>
        </references>
      </pivotArea>
    </chartFormat>
    <chartFormat chart="405" format="9">
      <pivotArea type="data" outline="0" fieldPosition="0">
        <references count="2">
          <reference field="4294967294" count="1" selected="0">
            <x v="0"/>
          </reference>
          <reference field="2" count="1" selected="0">
            <x v="3"/>
          </reference>
        </references>
      </pivotArea>
    </chartFormat>
    <chartFormat chart="405" format="10">
      <pivotArea type="data" outline="0" fieldPosition="0">
        <references count="2">
          <reference field="4294967294" count="1" selected="0">
            <x v="0"/>
          </reference>
          <reference field="2" count="1" selected="0">
            <x v="4"/>
          </reference>
        </references>
      </pivotArea>
    </chartFormat>
    <chartFormat chart="409" format="6" series="1">
      <pivotArea type="data" outline="0" fieldPosition="0">
        <references count="1">
          <reference field="4294967294" count="1" selected="0">
            <x v="0"/>
          </reference>
        </references>
      </pivotArea>
    </chartFormat>
    <chartFormat chart="409" format="7">
      <pivotArea type="data" outline="0" fieldPosition="0">
        <references count="2">
          <reference field="4294967294" count="1" selected="0">
            <x v="0"/>
          </reference>
          <reference field="2" count="1" selected="0">
            <x v="0"/>
          </reference>
        </references>
      </pivotArea>
    </chartFormat>
    <chartFormat chart="409" format="8">
      <pivotArea type="data" outline="0" fieldPosition="0">
        <references count="2">
          <reference field="4294967294" count="1" selected="0">
            <x v="0"/>
          </reference>
          <reference field="2" count="1" selected="0">
            <x v="2"/>
          </reference>
        </references>
      </pivotArea>
    </chartFormat>
    <chartFormat chart="409" format="9">
      <pivotArea type="data" outline="0" fieldPosition="0">
        <references count="2">
          <reference field="4294967294" count="1" selected="0">
            <x v="0"/>
          </reference>
          <reference field="2" count="1" selected="0">
            <x v="3"/>
          </reference>
        </references>
      </pivotArea>
    </chartFormat>
    <chartFormat chart="409" format="10">
      <pivotArea type="data" outline="0" fieldPosition="0">
        <references count="2">
          <reference field="4294967294" count="1" selected="0">
            <x v="0"/>
          </reference>
          <reference field="2" count="1" selected="0">
            <x v="4"/>
          </reference>
        </references>
      </pivotArea>
    </chartFormat>
    <chartFormat chart="410" format="11" series="1">
      <pivotArea type="data" outline="0" fieldPosition="0">
        <references count="1">
          <reference field="4294967294" count="1" selected="0">
            <x v="0"/>
          </reference>
        </references>
      </pivotArea>
    </chartFormat>
    <chartFormat chart="410" format="12">
      <pivotArea type="data" outline="0" fieldPosition="0">
        <references count="2">
          <reference field="4294967294" count="1" selected="0">
            <x v="0"/>
          </reference>
          <reference field="2" count="1" selected="0">
            <x v="0"/>
          </reference>
        </references>
      </pivotArea>
    </chartFormat>
    <chartFormat chart="410" format="13">
      <pivotArea type="data" outline="0" fieldPosition="0">
        <references count="2">
          <reference field="4294967294" count="1" selected="0">
            <x v="0"/>
          </reference>
          <reference field="2" count="1" selected="0">
            <x v="2"/>
          </reference>
        </references>
      </pivotArea>
    </chartFormat>
    <chartFormat chart="410" format="14">
      <pivotArea type="data" outline="0" fieldPosition="0">
        <references count="2">
          <reference field="4294967294" count="1" selected="0">
            <x v="0"/>
          </reference>
          <reference field="2" count="1" selected="0">
            <x v="3"/>
          </reference>
        </references>
      </pivotArea>
    </chartFormat>
    <chartFormat chart="410" format="1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BE17EBE-0C39-4E23-B8AC-30EEFD6A13E2}" sourceName="Category">
  <pivotTables>
    <pivotTable tabId="3" name="Total Sale"/>
    <pivotTable tabId="3" name="monthwies"/>
    <pivotTable tabId="3" name="prodectwies"/>
    <pivotTable tabId="3" name="stateswies"/>
    <pivotTable tabId="3" name="Total Purchase"/>
    <pivotTable tabId="3" name="Total Profit"/>
  </pivotTables>
  <data>
    <tabular pivotCacheId="225610600">
      <items count="5">
        <i x="1" s="1"/>
        <i x="0"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45D37D4-1850-42FB-831E-A6D4BC4252A2}" cache="Slicer_Category" caption="Category"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A030EB6-9893-432C-BE98-E34081D6721E}" cache="Slicer_Category" caption="Category"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21017-E06A-4733-8E9A-D61984FB8C33}">
  <dimension ref="A11:V67"/>
  <sheetViews>
    <sheetView topLeftCell="H39" zoomScale="79" zoomScaleNormal="115" workbookViewId="0">
      <selection activeCell="M87" sqref="M87"/>
    </sheetView>
  </sheetViews>
  <sheetFormatPr defaultRowHeight="14.4" x14ac:dyDescent="0.3"/>
  <cols>
    <col min="1" max="1" width="11.33203125" bestFit="1" customWidth="1"/>
    <col min="2" max="2" width="16" bestFit="1" customWidth="1"/>
    <col min="4" max="4" width="13.44140625" bestFit="1" customWidth="1"/>
    <col min="5" max="5" width="19.77734375" bestFit="1" customWidth="1"/>
    <col min="6" max="6" width="19.44140625" customWidth="1"/>
    <col min="8" max="8" width="13.44140625" bestFit="1" customWidth="1"/>
    <col min="9" max="9" width="12.33203125" bestFit="1" customWidth="1"/>
    <col min="10" max="10" width="12.109375" customWidth="1"/>
    <col min="11" max="11" width="13.44140625" bestFit="1" customWidth="1"/>
    <col min="12" max="12" width="16" bestFit="1" customWidth="1"/>
    <col min="13" max="13" width="12.33203125" bestFit="1" customWidth="1"/>
    <col min="14" max="16" width="12.109375" customWidth="1"/>
    <col min="17" max="17" width="14.33203125" bestFit="1" customWidth="1"/>
    <col min="18" max="18" width="16" bestFit="1" customWidth="1"/>
    <col min="19" max="19" width="12.33203125" bestFit="1" customWidth="1"/>
    <col min="20" max="20" width="12.109375" customWidth="1"/>
    <col min="21" max="21" width="15.44140625" bestFit="1" customWidth="1"/>
    <col min="22" max="22" width="16" bestFit="1" customWidth="1"/>
    <col min="24" max="24" width="15.44140625" bestFit="1" customWidth="1"/>
    <col min="25" max="25" width="16" bestFit="1" customWidth="1"/>
  </cols>
  <sheetData>
    <row r="11" spans="1:22" x14ac:dyDescent="0.3">
      <c r="B11">
        <f>GETPIVOTDATA("Sale Price",$A$13)</f>
        <v>9426771</v>
      </c>
      <c r="E11">
        <f>GETPIVOTDATA("Purchase Cost",$D$13)</f>
        <v>5486916</v>
      </c>
      <c r="I11">
        <f>GETPIVOTDATA("Profit",$H$13)</f>
        <v>3939855</v>
      </c>
    </row>
    <row r="13" spans="1:22" ht="12" customHeight="1" x14ac:dyDescent="0.3">
      <c r="A13" s="5" t="s">
        <v>113</v>
      </c>
      <c r="B13" t="s">
        <v>105</v>
      </c>
      <c r="D13" s="5" t="s">
        <v>108</v>
      </c>
      <c r="E13" t="s">
        <v>106</v>
      </c>
      <c r="H13" s="5" t="s">
        <v>108</v>
      </c>
      <c r="I13" t="s">
        <v>107</v>
      </c>
      <c r="K13" s="5" t="s">
        <v>108</v>
      </c>
      <c r="L13" t="s">
        <v>105</v>
      </c>
      <c r="M13" t="s">
        <v>107</v>
      </c>
      <c r="Q13" s="5" t="s">
        <v>108</v>
      </c>
      <c r="R13" t="s">
        <v>105</v>
      </c>
      <c r="S13" t="s">
        <v>107</v>
      </c>
      <c r="U13" s="5" t="s">
        <v>108</v>
      </c>
      <c r="V13" t="s">
        <v>105</v>
      </c>
    </row>
    <row r="14" spans="1:22" x14ac:dyDescent="0.3">
      <c r="A14" s="6" t="s">
        <v>18</v>
      </c>
      <c r="B14" s="3">
        <v>1566501</v>
      </c>
      <c r="D14" s="6" t="s">
        <v>18</v>
      </c>
      <c r="E14" s="3">
        <v>926876</v>
      </c>
      <c r="F14" s="3"/>
      <c r="G14" s="3"/>
      <c r="H14" s="6" t="s">
        <v>18</v>
      </c>
      <c r="I14" s="3">
        <v>639625</v>
      </c>
      <c r="K14" s="6" t="s">
        <v>110</v>
      </c>
      <c r="L14" s="3">
        <v>3591905</v>
      </c>
      <c r="M14" s="3">
        <v>1541981</v>
      </c>
      <c r="N14" s="3"/>
      <c r="O14" s="3"/>
      <c r="P14" s="7"/>
      <c r="Q14" s="6" t="s">
        <v>22</v>
      </c>
      <c r="R14" s="3">
        <v>438154</v>
      </c>
      <c r="S14" s="7">
        <v>4.8456098003606729E-2</v>
      </c>
      <c r="T14" s="7"/>
      <c r="U14" s="6" t="s">
        <v>15</v>
      </c>
      <c r="V14" s="3">
        <v>756039</v>
      </c>
    </row>
    <row r="15" spans="1:22" x14ac:dyDescent="0.3">
      <c r="A15" s="6" t="s">
        <v>13</v>
      </c>
      <c r="B15" s="3">
        <v>1822925</v>
      </c>
      <c r="D15" s="6" t="s">
        <v>13</v>
      </c>
      <c r="E15" s="3">
        <v>1039996</v>
      </c>
      <c r="F15" s="3"/>
      <c r="G15" s="3"/>
      <c r="H15" s="6" t="s">
        <v>13</v>
      </c>
      <c r="I15" s="3">
        <v>782929</v>
      </c>
      <c r="K15" s="6" t="s">
        <v>111</v>
      </c>
      <c r="L15" s="3">
        <v>3808669</v>
      </c>
      <c r="M15" s="3">
        <v>1540436</v>
      </c>
      <c r="N15" s="3"/>
      <c r="O15" s="3"/>
      <c r="P15" s="7"/>
      <c r="Q15" s="6" t="s">
        <v>73</v>
      </c>
      <c r="R15" s="3">
        <v>186183</v>
      </c>
      <c r="S15" s="7">
        <v>1.7985179657626995E-2</v>
      </c>
      <c r="T15" s="7"/>
      <c r="U15" s="6" t="s">
        <v>20</v>
      </c>
      <c r="V15" s="3">
        <v>809622</v>
      </c>
    </row>
    <row r="16" spans="1:22" x14ac:dyDescent="0.3">
      <c r="A16" s="6" t="s">
        <v>29</v>
      </c>
      <c r="B16" s="3">
        <v>2252912</v>
      </c>
      <c r="D16" s="6" t="s">
        <v>29</v>
      </c>
      <c r="E16" s="3">
        <v>1324749</v>
      </c>
      <c r="F16" s="3"/>
      <c r="G16" s="3"/>
      <c r="H16" s="6" t="s">
        <v>29</v>
      </c>
      <c r="I16" s="3">
        <v>928163</v>
      </c>
      <c r="K16" s="6" t="s">
        <v>112</v>
      </c>
      <c r="L16" s="3">
        <v>2026197</v>
      </c>
      <c r="M16" s="3">
        <v>857438</v>
      </c>
      <c r="N16" s="3"/>
      <c r="O16" s="3"/>
      <c r="P16" s="7"/>
      <c r="Q16" s="6" t="s">
        <v>64</v>
      </c>
      <c r="R16" s="3">
        <v>327093</v>
      </c>
      <c r="S16" s="7">
        <v>3.2498404129085966E-2</v>
      </c>
      <c r="T16" s="7"/>
      <c r="U16" s="6" t="s">
        <v>63</v>
      </c>
      <c r="V16" s="3">
        <v>736514</v>
      </c>
    </row>
    <row r="17" spans="1:22" x14ac:dyDescent="0.3">
      <c r="A17" s="6" t="s">
        <v>37</v>
      </c>
      <c r="B17" s="3">
        <v>1430925</v>
      </c>
      <c r="D17" s="6" t="s">
        <v>37</v>
      </c>
      <c r="E17" s="3">
        <v>838593</v>
      </c>
      <c r="F17" s="3"/>
      <c r="G17" s="3"/>
      <c r="H17" s="6" t="s">
        <v>37</v>
      </c>
      <c r="I17" s="3">
        <v>592332</v>
      </c>
      <c r="K17" s="6" t="s">
        <v>109</v>
      </c>
      <c r="L17" s="3">
        <v>9426771</v>
      </c>
      <c r="M17" s="3">
        <v>3939855</v>
      </c>
      <c r="N17" s="3"/>
      <c r="O17" s="3"/>
      <c r="P17" s="7"/>
      <c r="Q17" s="6" t="s">
        <v>19</v>
      </c>
      <c r="R17" s="3">
        <v>305427</v>
      </c>
      <c r="S17" s="7">
        <v>3.5054335756011322E-2</v>
      </c>
      <c r="T17" s="7"/>
      <c r="U17" s="6" t="s">
        <v>23</v>
      </c>
      <c r="V17" s="3">
        <v>724327</v>
      </c>
    </row>
    <row r="18" spans="1:22" x14ac:dyDescent="0.3">
      <c r="A18" s="6" t="s">
        <v>45</v>
      </c>
      <c r="B18" s="3">
        <v>2353508</v>
      </c>
      <c r="D18" s="6" t="s">
        <v>45</v>
      </c>
      <c r="E18" s="3">
        <v>1356702</v>
      </c>
      <c r="F18" s="3"/>
      <c r="G18" s="3"/>
      <c r="H18" s="6" t="s">
        <v>45</v>
      </c>
      <c r="I18" s="3">
        <v>996806</v>
      </c>
      <c r="Q18" s="6" t="s">
        <v>56</v>
      </c>
      <c r="R18" s="3">
        <v>221457</v>
      </c>
      <c r="S18" s="7">
        <v>2.1543432435965282E-2</v>
      </c>
      <c r="T18" s="7"/>
      <c r="U18" s="6" t="s">
        <v>51</v>
      </c>
      <c r="V18" s="3">
        <v>829804</v>
      </c>
    </row>
    <row r="19" spans="1:22" x14ac:dyDescent="0.3">
      <c r="A19" s="6" t="s">
        <v>109</v>
      </c>
      <c r="B19" s="3">
        <v>9426771</v>
      </c>
      <c r="D19" s="6" t="s">
        <v>109</v>
      </c>
      <c r="E19" s="3">
        <v>5486916</v>
      </c>
      <c r="F19" s="3"/>
      <c r="G19" s="3"/>
      <c r="H19" s="6" t="s">
        <v>109</v>
      </c>
      <c r="I19" s="3">
        <v>3939855</v>
      </c>
      <c r="Q19" s="6" t="s">
        <v>67</v>
      </c>
      <c r="R19" s="3">
        <v>605701</v>
      </c>
      <c r="S19" s="7">
        <v>6.6654229660736239E-2</v>
      </c>
      <c r="T19" s="7"/>
      <c r="U19" s="6" t="s">
        <v>55</v>
      </c>
      <c r="V19" s="3">
        <v>272015</v>
      </c>
    </row>
    <row r="20" spans="1:22" x14ac:dyDescent="0.3">
      <c r="Q20" s="6" t="s">
        <v>46</v>
      </c>
      <c r="R20" s="3">
        <v>344662</v>
      </c>
      <c r="S20" s="7">
        <v>3.463071610503432E-2</v>
      </c>
      <c r="T20" s="7"/>
      <c r="U20" s="6" t="s">
        <v>35</v>
      </c>
      <c r="V20" s="3">
        <v>449139</v>
      </c>
    </row>
    <row r="21" spans="1:22" x14ac:dyDescent="0.3">
      <c r="Q21" s="6" t="s">
        <v>48</v>
      </c>
      <c r="R21" s="3">
        <v>482039</v>
      </c>
      <c r="S21" s="7">
        <v>5.3413640857341196E-2</v>
      </c>
      <c r="T21" s="7"/>
      <c r="U21" s="6" t="s">
        <v>41</v>
      </c>
      <c r="V21" s="3">
        <v>744041</v>
      </c>
    </row>
    <row r="22" spans="1:22" x14ac:dyDescent="0.3">
      <c r="Q22" s="6" t="s">
        <v>26</v>
      </c>
      <c r="R22" s="3">
        <v>442238</v>
      </c>
      <c r="S22" s="7">
        <v>4.0120004416406188E-2</v>
      </c>
      <c r="T22" s="7"/>
      <c r="U22" s="6" t="s">
        <v>31</v>
      </c>
      <c r="V22" s="3">
        <v>731592</v>
      </c>
    </row>
    <row r="23" spans="1:22" ht="15" customHeight="1" x14ac:dyDescent="0.3">
      <c r="Q23" s="6" t="s">
        <v>76</v>
      </c>
      <c r="R23" s="3">
        <v>113008</v>
      </c>
      <c r="S23" s="7">
        <v>8.4185839326574204E-3</v>
      </c>
      <c r="T23" s="7"/>
      <c r="U23" s="6" t="s">
        <v>27</v>
      </c>
      <c r="V23" s="3">
        <v>642869</v>
      </c>
    </row>
    <row r="24" spans="1:22" x14ac:dyDescent="0.3">
      <c r="Q24" s="6" t="s">
        <v>30</v>
      </c>
      <c r="R24" s="3">
        <v>554871</v>
      </c>
      <c r="S24" s="7">
        <v>5.7997819716715464E-2</v>
      </c>
      <c r="T24" s="7"/>
      <c r="U24" s="6" t="s">
        <v>71</v>
      </c>
      <c r="V24" s="3">
        <v>743756</v>
      </c>
    </row>
    <row r="25" spans="1:22" x14ac:dyDescent="0.3">
      <c r="Q25" s="6" t="s">
        <v>38</v>
      </c>
      <c r="R25" s="3">
        <v>152827</v>
      </c>
      <c r="S25" s="7">
        <v>1.478912294995628E-2</v>
      </c>
      <c r="T25" s="7"/>
      <c r="U25" s="6" t="s">
        <v>43</v>
      </c>
      <c r="V25" s="3">
        <v>429015</v>
      </c>
    </row>
    <row r="26" spans="1:22" x14ac:dyDescent="0.3">
      <c r="Q26" s="6" t="s">
        <v>77</v>
      </c>
      <c r="R26" s="3">
        <v>345746</v>
      </c>
      <c r="S26" s="7">
        <v>3.7444779059127811E-2</v>
      </c>
      <c r="T26" s="7"/>
      <c r="U26" s="6" t="s">
        <v>39</v>
      </c>
      <c r="V26" s="3">
        <v>581005</v>
      </c>
    </row>
    <row r="27" spans="1:22" x14ac:dyDescent="0.3">
      <c r="Q27" s="6" t="s">
        <v>60</v>
      </c>
      <c r="R27" s="3">
        <v>424131</v>
      </c>
      <c r="S27" s="7">
        <v>4.3692978548702938E-2</v>
      </c>
      <c r="T27" s="7"/>
      <c r="U27" s="6" t="s">
        <v>65</v>
      </c>
      <c r="V27" s="3">
        <v>599217</v>
      </c>
    </row>
    <row r="28" spans="1:22" x14ac:dyDescent="0.3">
      <c r="Q28" s="6" t="s">
        <v>74</v>
      </c>
      <c r="R28" s="3">
        <v>378992</v>
      </c>
      <c r="S28" s="7">
        <v>3.8576546598796148E-2</v>
      </c>
      <c r="T28" s="7"/>
      <c r="U28" s="6" t="s">
        <v>49</v>
      </c>
      <c r="V28" s="3">
        <v>377816</v>
      </c>
    </row>
    <row r="29" spans="1:22" x14ac:dyDescent="0.3">
      <c r="Q29" s="6" t="s">
        <v>62</v>
      </c>
      <c r="R29" s="3">
        <v>762362</v>
      </c>
      <c r="S29" s="7">
        <v>8.2590856770109564E-2</v>
      </c>
      <c r="T29" s="7"/>
      <c r="U29" s="6" t="s">
        <v>109</v>
      </c>
      <c r="V29" s="3">
        <v>9426771</v>
      </c>
    </row>
    <row r="30" spans="1:22" x14ac:dyDescent="0.3">
      <c r="Q30" s="6" t="s">
        <v>80</v>
      </c>
      <c r="R30" s="3">
        <v>337348</v>
      </c>
      <c r="S30" s="7">
        <v>4.0908358302526364E-2</v>
      </c>
      <c r="T30" s="7"/>
    </row>
    <row r="31" spans="1:22" x14ac:dyDescent="0.3">
      <c r="Q31" s="6" t="s">
        <v>81</v>
      </c>
      <c r="R31" s="3">
        <v>126338</v>
      </c>
      <c r="S31" s="7">
        <v>1.4943443350072527E-2</v>
      </c>
      <c r="T31" s="7"/>
    </row>
    <row r="32" spans="1:22" x14ac:dyDescent="0.3">
      <c r="Q32" s="6" t="s">
        <v>14</v>
      </c>
      <c r="R32" s="3">
        <v>318262</v>
      </c>
      <c r="S32" s="7">
        <v>3.4522590298373922E-2</v>
      </c>
      <c r="T32" s="7"/>
    </row>
    <row r="33" spans="17:22" x14ac:dyDescent="0.3">
      <c r="Q33" s="6" t="s">
        <v>42</v>
      </c>
      <c r="R33" s="3">
        <v>603210</v>
      </c>
      <c r="S33" s="7">
        <v>6.6569201150803767E-2</v>
      </c>
      <c r="T33" s="7"/>
      <c r="U33" s="8" t="s">
        <v>108</v>
      </c>
      <c r="V33" s="8" t="s">
        <v>105</v>
      </c>
    </row>
    <row r="34" spans="17:22" x14ac:dyDescent="0.3">
      <c r="Q34" s="6" t="s">
        <v>53</v>
      </c>
      <c r="R34" s="3">
        <v>341559</v>
      </c>
      <c r="S34" s="7">
        <v>3.912301341039201E-2</v>
      </c>
      <c r="T34" s="7"/>
      <c r="U34" s="6" t="s">
        <v>15</v>
      </c>
      <c r="V34">
        <f>GETPIVOTDATA("Sale Price",$U$13,"State",U34)</f>
        <v>756039</v>
      </c>
    </row>
    <row r="35" spans="17:22" x14ac:dyDescent="0.3">
      <c r="Q35" s="6" t="s">
        <v>34</v>
      </c>
      <c r="R35" s="3">
        <v>215868</v>
      </c>
      <c r="S35" s="7">
        <v>1.9190300150640063E-2</v>
      </c>
      <c r="T35" s="7"/>
      <c r="U35" s="6" t="s">
        <v>20</v>
      </c>
      <c r="V35">
        <f t="shared" ref="V35:V48" si="0">GETPIVOTDATA("Sale Price",$U$13,"State",U35)</f>
        <v>809622</v>
      </c>
    </row>
    <row r="36" spans="17:22" x14ac:dyDescent="0.3">
      <c r="Q36" s="6" t="s">
        <v>52</v>
      </c>
      <c r="R36" s="3">
        <v>194499</v>
      </c>
      <c r="S36" s="14">
        <v>2.0731727436669622E-2</v>
      </c>
      <c r="T36" s="7"/>
      <c r="U36" s="6" t="s">
        <v>63</v>
      </c>
      <c r="V36">
        <f t="shared" si="0"/>
        <v>736514</v>
      </c>
    </row>
    <row r="37" spans="17:22" x14ac:dyDescent="0.3">
      <c r="Q37" s="6" t="s">
        <v>70</v>
      </c>
      <c r="R37" s="3">
        <v>422886</v>
      </c>
      <c r="S37" s="7">
        <v>4.3247530683235808E-2</v>
      </c>
      <c r="T37" s="7"/>
      <c r="U37" s="6" t="s">
        <v>23</v>
      </c>
      <c r="V37">
        <f t="shared" si="0"/>
        <v>724327</v>
      </c>
    </row>
    <row r="38" spans="17:22" x14ac:dyDescent="0.3">
      <c r="Q38" s="6" t="s">
        <v>59</v>
      </c>
      <c r="R38" s="3">
        <v>781910</v>
      </c>
      <c r="S38" s="7">
        <v>8.6897106619406042E-2</v>
      </c>
      <c r="T38" s="7"/>
      <c r="U38" s="6" t="s">
        <v>51</v>
      </c>
      <c r="V38">
        <f t="shared" si="0"/>
        <v>829804</v>
      </c>
    </row>
    <row r="39" spans="17:22" x14ac:dyDescent="0.3">
      <c r="Q39" s="6" t="s">
        <v>109</v>
      </c>
      <c r="R39" s="3">
        <v>9426771</v>
      </c>
      <c r="S39" s="7">
        <v>1</v>
      </c>
      <c r="T39" s="7"/>
      <c r="U39" s="6" t="s">
        <v>55</v>
      </c>
      <c r="V39">
        <f t="shared" si="0"/>
        <v>272015</v>
      </c>
    </row>
    <row r="40" spans="17:22" x14ac:dyDescent="0.3">
      <c r="U40" s="6" t="s">
        <v>35</v>
      </c>
      <c r="V40">
        <f t="shared" si="0"/>
        <v>449139</v>
      </c>
    </row>
    <row r="41" spans="17:22" x14ac:dyDescent="0.3">
      <c r="U41" s="6" t="s">
        <v>41</v>
      </c>
      <c r="V41">
        <f t="shared" si="0"/>
        <v>744041</v>
      </c>
    </row>
    <row r="42" spans="17:22" x14ac:dyDescent="0.3">
      <c r="Q42" s="8" t="s">
        <v>108</v>
      </c>
      <c r="R42" s="8" t="s">
        <v>105</v>
      </c>
      <c r="S42" s="10" t="s">
        <v>107</v>
      </c>
      <c r="U42" s="6" t="s">
        <v>31</v>
      </c>
      <c r="V42">
        <f t="shared" si="0"/>
        <v>731592</v>
      </c>
    </row>
    <row r="43" spans="17:22" x14ac:dyDescent="0.3">
      <c r="Q43" s="6" t="s">
        <v>22</v>
      </c>
      <c r="R43">
        <f>GETPIVOTDATA("Sum of Sale Price",$Q$13,"Product Name",Q43)</f>
        <v>438154</v>
      </c>
      <c r="S43" s="9">
        <f>GETPIVOTDATA("Sum of Profit",$Q$13,"Product Name",Q43)</f>
        <v>4.8456098003606729E-2</v>
      </c>
      <c r="U43" s="6" t="s">
        <v>27</v>
      </c>
      <c r="V43">
        <f t="shared" si="0"/>
        <v>642869</v>
      </c>
    </row>
    <row r="44" spans="17:22" x14ac:dyDescent="0.3">
      <c r="Q44" s="6" t="s">
        <v>73</v>
      </c>
      <c r="R44">
        <f t="shared" ref="R44:R54" si="1">GETPIVOTDATA("Sum of Sale Price",$Q$13,"Product Name",Q44)</f>
        <v>186183</v>
      </c>
      <c r="S44" s="9">
        <f t="shared" ref="S44:S67" si="2">GETPIVOTDATA("Sum of Profit",$Q$13,"Product Name",Q44)</f>
        <v>1.7985179657626995E-2</v>
      </c>
      <c r="U44" s="6" t="s">
        <v>71</v>
      </c>
      <c r="V44">
        <f t="shared" si="0"/>
        <v>743756</v>
      </c>
    </row>
    <row r="45" spans="17:22" x14ac:dyDescent="0.3">
      <c r="Q45" s="6" t="s">
        <v>64</v>
      </c>
      <c r="R45">
        <f t="shared" si="1"/>
        <v>327093</v>
      </c>
      <c r="S45" s="9">
        <f t="shared" si="2"/>
        <v>3.2498404129085966E-2</v>
      </c>
      <c r="U45" s="6" t="s">
        <v>43</v>
      </c>
      <c r="V45">
        <f t="shared" si="0"/>
        <v>429015</v>
      </c>
    </row>
    <row r="46" spans="17:22" x14ac:dyDescent="0.3">
      <c r="Q46" s="6" t="s">
        <v>19</v>
      </c>
      <c r="R46">
        <f t="shared" si="1"/>
        <v>305427</v>
      </c>
      <c r="S46" s="9">
        <f t="shared" si="2"/>
        <v>3.5054335756011322E-2</v>
      </c>
      <c r="U46" s="6" t="s">
        <v>39</v>
      </c>
      <c r="V46">
        <f t="shared" si="0"/>
        <v>581005</v>
      </c>
    </row>
    <row r="47" spans="17:22" x14ac:dyDescent="0.3">
      <c r="Q47" s="6" t="s">
        <v>56</v>
      </c>
      <c r="R47">
        <f t="shared" si="1"/>
        <v>221457</v>
      </c>
      <c r="S47" s="9">
        <f t="shared" si="2"/>
        <v>2.1543432435965282E-2</v>
      </c>
      <c r="U47" s="6" t="s">
        <v>65</v>
      </c>
      <c r="V47">
        <f t="shared" si="0"/>
        <v>599217</v>
      </c>
    </row>
    <row r="48" spans="17:22" x14ac:dyDescent="0.3">
      <c r="Q48" s="6" t="s">
        <v>67</v>
      </c>
      <c r="S48" s="9"/>
      <c r="U48" s="6" t="s">
        <v>49</v>
      </c>
      <c r="V48">
        <f t="shared" si="0"/>
        <v>377816</v>
      </c>
    </row>
    <row r="49" spans="17:19" x14ac:dyDescent="0.3">
      <c r="Q49" s="6" t="s">
        <v>46</v>
      </c>
      <c r="R49">
        <f t="shared" si="1"/>
        <v>344662</v>
      </c>
      <c r="S49" s="9">
        <f t="shared" si="2"/>
        <v>3.463071610503432E-2</v>
      </c>
    </row>
    <row r="50" spans="17:19" x14ac:dyDescent="0.3">
      <c r="Q50" s="6" t="s">
        <v>48</v>
      </c>
      <c r="R50">
        <f t="shared" si="1"/>
        <v>482039</v>
      </c>
      <c r="S50" s="9">
        <f t="shared" si="2"/>
        <v>5.3413640857341196E-2</v>
      </c>
    </row>
    <row r="51" spans="17:19" x14ac:dyDescent="0.3">
      <c r="Q51" s="6" t="s">
        <v>26</v>
      </c>
      <c r="R51">
        <f t="shared" si="1"/>
        <v>442238</v>
      </c>
      <c r="S51" s="9">
        <f t="shared" si="2"/>
        <v>4.0120004416406188E-2</v>
      </c>
    </row>
    <row r="52" spans="17:19" x14ac:dyDescent="0.3">
      <c r="Q52" s="6" t="s">
        <v>76</v>
      </c>
      <c r="R52">
        <f t="shared" si="1"/>
        <v>113008</v>
      </c>
      <c r="S52" s="9">
        <f t="shared" si="2"/>
        <v>8.4185839326574204E-3</v>
      </c>
    </row>
    <row r="53" spans="17:19" x14ac:dyDescent="0.3">
      <c r="Q53" s="6" t="s">
        <v>30</v>
      </c>
      <c r="R53">
        <f t="shared" si="1"/>
        <v>554871</v>
      </c>
      <c r="S53" s="9">
        <f t="shared" si="2"/>
        <v>5.7997819716715464E-2</v>
      </c>
    </row>
    <row r="54" spans="17:19" x14ac:dyDescent="0.3">
      <c r="Q54" s="6" t="s">
        <v>38</v>
      </c>
      <c r="R54">
        <f t="shared" si="1"/>
        <v>152827</v>
      </c>
      <c r="S54" s="9">
        <f t="shared" si="2"/>
        <v>1.478912294995628E-2</v>
      </c>
    </row>
    <row r="55" spans="17:19" x14ac:dyDescent="0.3">
      <c r="Q55" s="6" t="s">
        <v>77</v>
      </c>
      <c r="S55" s="9">
        <f>IFERROR(GETPIVOTDATA("Sum of Profit",$Q$13,"Product Name",Q55),"")</f>
        <v>3.7444779059127811E-2</v>
      </c>
    </row>
    <row r="56" spans="17:19" x14ac:dyDescent="0.3">
      <c r="Q56" s="6" t="s">
        <v>60</v>
      </c>
      <c r="R56">
        <f t="shared" ref="R56:R67" si="3">IFERROR(GETPIVOTDATA("Sum of Sale Price",$Q$13,"Product Name",Q56),"")</f>
        <v>424131</v>
      </c>
      <c r="S56" s="9">
        <f t="shared" ref="S56:S65" si="4">IFERROR(GETPIVOTDATA("Sum of Profit",$Q$13,"Product Name",Q56),"")</f>
        <v>4.3692978548702938E-2</v>
      </c>
    </row>
    <row r="57" spans="17:19" x14ac:dyDescent="0.3">
      <c r="Q57" s="6" t="s">
        <v>74</v>
      </c>
      <c r="R57">
        <f t="shared" si="3"/>
        <v>378992</v>
      </c>
      <c r="S57" s="9">
        <f t="shared" si="4"/>
        <v>3.8576546598796148E-2</v>
      </c>
    </row>
    <row r="58" spans="17:19" x14ac:dyDescent="0.3">
      <c r="Q58" s="6" t="s">
        <v>62</v>
      </c>
      <c r="R58">
        <f t="shared" si="3"/>
        <v>762362</v>
      </c>
      <c r="S58" s="9">
        <f t="shared" si="4"/>
        <v>8.2590856770109564E-2</v>
      </c>
    </row>
    <row r="59" spans="17:19" x14ac:dyDescent="0.3">
      <c r="Q59" s="6" t="s">
        <v>80</v>
      </c>
      <c r="R59">
        <f t="shared" si="3"/>
        <v>337348</v>
      </c>
      <c r="S59" s="9">
        <f t="shared" si="4"/>
        <v>4.0908358302526364E-2</v>
      </c>
    </row>
    <row r="60" spans="17:19" x14ac:dyDescent="0.3">
      <c r="Q60" s="6" t="s">
        <v>81</v>
      </c>
      <c r="R60">
        <f t="shared" si="3"/>
        <v>126338</v>
      </c>
      <c r="S60" s="9">
        <f t="shared" si="4"/>
        <v>1.4943443350072527E-2</v>
      </c>
    </row>
    <row r="61" spans="17:19" x14ac:dyDescent="0.3">
      <c r="Q61" s="6" t="s">
        <v>14</v>
      </c>
      <c r="R61">
        <f t="shared" si="3"/>
        <v>318262</v>
      </c>
      <c r="S61" s="9">
        <f t="shared" si="4"/>
        <v>3.4522590298373922E-2</v>
      </c>
    </row>
    <row r="62" spans="17:19" x14ac:dyDescent="0.3">
      <c r="Q62" s="6" t="s">
        <v>42</v>
      </c>
      <c r="R62">
        <f t="shared" si="3"/>
        <v>603210</v>
      </c>
      <c r="S62" s="9">
        <f t="shared" si="4"/>
        <v>6.6569201150803767E-2</v>
      </c>
    </row>
    <row r="63" spans="17:19" x14ac:dyDescent="0.3">
      <c r="Q63" s="6" t="s">
        <v>53</v>
      </c>
      <c r="R63">
        <f t="shared" si="3"/>
        <v>341559</v>
      </c>
      <c r="S63" s="9">
        <f t="shared" si="4"/>
        <v>3.912301341039201E-2</v>
      </c>
    </row>
    <row r="64" spans="17:19" x14ac:dyDescent="0.3">
      <c r="Q64" s="6" t="s">
        <v>34</v>
      </c>
      <c r="R64">
        <f t="shared" si="3"/>
        <v>215868</v>
      </c>
      <c r="S64" s="9">
        <f t="shared" si="4"/>
        <v>1.9190300150640063E-2</v>
      </c>
    </row>
    <row r="65" spans="17:19" x14ac:dyDescent="0.3">
      <c r="Q65" s="6" t="s">
        <v>52</v>
      </c>
      <c r="R65">
        <f t="shared" si="3"/>
        <v>194499</v>
      </c>
      <c r="S65" s="9">
        <f t="shared" si="4"/>
        <v>2.0731727436669622E-2</v>
      </c>
    </row>
    <row r="66" spans="17:19" x14ac:dyDescent="0.3">
      <c r="Q66" s="6" t="s">
        <v>70</v>
      </c>
      <c r="R66">
        <f t="shared" si="3"/>
        <v>422886</v>
      </c>
      <c r="S66" s="9">
        <f t="shared" si="2"/>
        <v>4.3247530683235808E-2</v>
      </c>
    </row>
    <row r="67" spans="17:19" x14ac:dyDescent="0.3">
      <c r="Q67" s="6" t="s">
        <v>59</v>
      </c>
      <c r="R67">
        <f t="shared" si="3"/>
        <v>781910</v>
      </c>
      <c r="S67" s="9">
        <f t="shared" si="2"/>
        <v>8.6897106619406042E-2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1FFE1-DEF5-4982-9D67-B53C65B23300}">
  <dimension ref="C1:P20"/>
  <sheetViews>
    <sheetView tabSelected="1" zoomScale="79" zoomScaleNormal="160" workbookViewId="0">
      <selection activeCell="AD19" sqref="AD19"/>
    </sheetView>
  </sheetViews>
  <sheetFormatPr defaultRowHeight="14.4" x14ac:dyDescent="0.3"/>
  <cols>
    <col min="6" max="6" width="10.33203125" customWidth="1"/>
  </cols>
  <sheetData>
    <row r="1" spans="3:11" x14ac:dyDescent="0.3">
      <c r="C1" s="11"/>
    </row>
    <row r="16" spans="3:11" ht="15.6" x14ac:dyDescent="0.3">
      <c r="K16" s="12"/>
    </row>
    <row r="20" spans="16:16" x14ac:dyDescent="0.3">
      <c r="P20"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1"/>
  <sheetViews>
    <sheetView workbookViewId="0">
      <pane ySplit="1" topLeftCell="A2" activePane="bottomLeft" state="frozen"/>
      <selection pane="bottomLeft"/>
    </sheetView>
  </sheetViews>
  <sheetFormatPr defaultRowHeight="14.4" x14ac:dyDescent="0.3"/>
  <cols>
    <col min="1" max="1" width="15" customWidth="1"/>
    <col min="2" max="2" width="28" customWidth="1"/>
    <col min="3" max="3" width="16" customWidth="1"/>
    <col min="4" max="4" width="20" customWidth="1"/>
    <col min="5" max="5" width="18" customWidth="1"/>
    <col min="6" max="9" width="12" customWidth="1"/>
    <col min="10" max="11" width="16" customWidth="1"/>
    <col min="12" max="12" width="14"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v>45383</v>
      </c>
      <c r="B2" t="s">
        <v>12</v>
      </c>
      <c r="C2" t="s">
        <v>13</v>
      </c>
      <c r="D2" t="s">
        <v>14</v>
      </c>
      <c r="E2" t="s">
        <v>15</v>
      </c>
      <c r="F2" t="s">
        <v>16</v>
      </c>
      <c r="G2">
        <v>41</v>
      </c>
      <c r="H2" s="3">
        <v>528</v>
      </c>
      <c r="I2" s="3">
        <v>729</v>
      </c>
      <c r="J2" s="3">
        <v>21648</v>
      </c>
      <c r="K2" s="3">
        <v>29889</v>
      </c>
      <c r="L2" s="3">
        <v>8241</v>
      </c>
    </row>
    <row r="3" spans="1:12" x14ac:dyDescent="0.3">
      <c r="A3" s="2">
        <v>45384</v>
      </c>
      <c r="B3" t="s">
        <v>17</v>
      </c>
      <c r="C3" t="s">
        <v>18</v>
      </c>
      <c r="D3" t="s">
        <v>19</v>
      </c>
      <c r="E3" t="s">
        <v>20</v>
      </c>
      <c r="F3" t="s">
        <v>16</v>
      </c>
      <c r="G3">
        <v>14</v>
      </c>
      <c r="H3" s="3">
        <v>330</v>
      </c>
      <c r="I3" s="3">
        <v>441</v>
      </c>
      <c r="J3" s="3">
        <v>4620</v>
      </c>
      <c r="K3" s="3">
        <v>6174</v>
      </c>
      <c r="L3" s="3">
        <v>1554</v>
      </c>
    </row>
    <row r="4" spans="1:12" x14ac:dyDescent="0.3">
      <c r="A4" s="2">
        <v>45385</v>
      </c>
      <c r="B4" t="s">
        <v>21</v>
      </c>
      <c r="C4" t="s">
        <v>18</v>
      </c>
      <c r="D4" t="s">
        <v>22</v>
      </c>
      <c r="E4" t="s">
        <v>23</v>
      </c>
      <c r="F4" t="s">
        <v>24</v>
      </c>
      <c r="G4">
        <v>93</v>
      </c>
      <c r="H4" s="3">
        <v>858</v>
      </c>
      <c r="I4" s="3">
        <v>1414</v>
      </c>
      <c r="J4" s="3">
        <v>79794</v>
      </c>
      <c r="K4" s="3">
        <v>131502</v>
      </c>
      <c r="L4" s="3">
        <v>51708</v>
      </c>
    </row>
    <row r="5" spans="1:12" x14ac:dyDescent="0.3">
      <c r="A5" s="2">
        <v>45386</v>
      </c>
      <c r="B5" t="s">
        <v>25</v>
      </c>
      <c r="C5" t="s">
        <v>18</v>
      </c>
      <c r="D5" t="s">
        <v>26</v>
      </c>
      <c r="E5" t="s">
        <v>27</v>
      </c>
      <c r="F5" t="s">
        <v>24</v>
      </c>
      <c r="G5">
        <v>30</v>
      </c>
      <c r="H5" s="3">
        <v>732</v>
      </c>
      <c r="I5" s="3">
        <v>1151</v>
      </c>
      <c r="J5" s="3">
        <v>21960</v>
      </c>
      <c r="K5" s="3">
        <v>34530</v>
      </c>
      <c r="L5" s="3">
        <v>12570</v>
      </c>
    </row>
    <row r="6" spans="1:12" x14ac:dyDescent="0.3">
      <c r="A6" s="2">
        <v>45387</v>
      </c>
      <c r="B6" t="s">
        <v>28</v>
      </c>
      <c r="C6" t="s">
        <v>29</v>
      </c>
      <c r="D6" t="s">
        <v>30</v>
      </c>
      <c r="E6" t="s">
        <v>31</v>
      </c>
      <c r="F6" t="s">
        <v>24</v>
      </c>
      <c r="G6">
        <v>58</v>
      </c>
      <c r="H6" s="3">
        <v>399</v>
      </c>
      <c r="I6" s="3">
        <v>634</v>
      </c>
      <c r="J6" s="3">
        <v>23142</v>
      </c>
      <c r="K6" s="3">
        <v>36772</v>
      </c>
      <c r="L6" s="3">
        <v>13630</v>
      </c>
    </row>
    <row r="7" spans="1:12" x14ac:dyDescent="0.3">
      <c r="A7" s="2">
        <v>45388</v>
      </c>
      <c r="B7" t="s">
        <v>32</v>
      </c>
      <c r="C7" t="s">
        <v>18</v>
      </c>
      <c r="D7" t="s">
        <v>26</v>
      </c>
      <c r="E7" t="s">
        <v>27</v>
      </c>
      <c r="F7" t="s">
        <v>24</v>
      </c>
      <c r="G7">
        <v>68</v>
      </c>
      <c r="H7" s="3">
        <v>849</v>
      </c>
      <c r="I7" s="3">
        <v>1161</v>
      </c>
      <c r="J7" s="3">
        <v>57732</v>
      </c>
      <c r="K7" s="3">
        <v>78948</v>
      </c>
      <c r="L7" s="3">
        <v>21216</v>
      </c>
    </row>
    <row r="8" spans="1:12" x14ac:dyDescent="0.3">
      <c r="A8" s="2">
        <v>45389</v>
      </c>
      <c r="B8" t="s">
        <v>33</v>
      </c>
      <c r="C8" t="s">
        <v>13</v>
      </c>
      <c r="D8" t="s">
        <v>34</v>
      </c>
      <c r="E8" t="s">
        <v>35</v>
      </c>
      <c r="F8" t="s">
        <v>16</v>
      </c>
      <c r="G8">
        <v>83</v>
      </c>
      <c r="H8" s="3">
        <v>496</v>
      </c>
      <c r="I8" s="3">
        <v>951</v>
      </c>
      <c r="J8" s="3">
        <v>41168</v>
      </c>
      <c r="K8" s="3">
        <v>78933</v>
      </c>
      <c r="L8" s="3">
        <v>37765</v>
      </c>
    </row>
    <row r="9" spans="1:12" x14ac:dyDescent="0.3">
      <c r="A9" s="2">
        <v>45390</v>
      </c>
      <c r="B9" t="s">
        <v>36</v>
      </c>
      <c r="C9" t="s">
        <v>29</v>
      </c>
      <c r="D9" t="s">
        <v>30</v>
      </c>
      <c r="E9" t="s">
        <v>31</v>
      </c>
      <c r="F9" t="s">
        <v>24</v>
      </c>
      <c r="G9">
        <v>22</v>
      </c>
      <c r="H9" s="3">
        <v>689</v>
      </c>
      <c r="I9" s="3">
        <v>1043</v>
      </c>
      <c r="J9" s="3">
        <v>15158</v>
      </c>
      <c r="K9" s="3">
        <v>22946</v>
      </c>
      <c r="L9" s="3">
        <v>7788</v>
      </c>
    </row>
    <row r="10" spans="1:12" x14ac:dyDescent="0.3">
      <c r="A10" s="2">
        <v>45391</v>
      </c>
      <c r="B10" t="s">
        <v>12</v>
      </c>
      <c r="C10" t="s">
        <v>37</v>
      </c>
      <c r="D10" t="s">
        <v>38</v>
      </c>
      <c r="E10" t="s">
        <v>39</v>
      </c>
      <c r="F10" t="s">
        <v>16</v>
      </c>
      <c r="G10">
        <v>36</v>
      </c>
      <c r="H10" s="3">
        <v>986</v>
      </c>
      <c r="I10" s="3">
        <v>1482</v>
      </c>
      <c r="J10" s="3">
        <v>35496</v>
      </c>
      <c r="K10" s="3">
        <v>53352</v>
      </c>
      <c r="L10" s="3">
        <v>17856</v>
      </c>
    </row>
    <row r="11" spans="1:12" x14ac:dyDescent="0.3">
      <c r="A11" s="2">
        <v>45392</v>
      </c>
      <c r="B11" t="s">
        <v>40</v>
      </c>
      <c r="C11" t="s">
        <v>13</v>
      </c>
      <c r="D11" t="s">
        <v>34</v>
      </c>
      <c r="E11" t="s">
        <v>41</v>
      </c>
      <c r="F11" t="s">
        <v>24</v>
      </c>
      <c r="G11">
        <v>78</v>
      </c>
      <c r="H11" s="3">
        <v>550</v>
      </c>
      <c r="I11" s="3">
        <v>772</v>
      </c>
      <c r="J11" s="3">
        <v>42900</v>
      </c>
      <c r="K11" s="3">
        <v>60216</v>
      </c>
      <c r="L11" s="3">
        <v>17316</v>
      </c>
    </row>
    <row r="12" spans="1:12" x14ac:dyDescent="0.3">
      <c r="A12" s="2">
        <v>45393</v>
      </c>
      <c r="B12" t="s">
        <v>33</v>
      </c>
      <c r="C12" t="s">
        <v>37</v>
      </c>
      <c r="D12" t="s">
        <v>42</v>
      </c>
      <c r="E12" t="s">
        <v>43</v>
      </c>
      <c r="F12" t="s">
        <v>16</v>
      </c>
      <c r="G12">
        <v>17</v>
      </c>
      <c r="H12" s="3">
        <v>534</v>
      </c>
      <c r="I12" s="3">
        <v>1084</v>
      </c>
      <c r="J12" s="3">
        <v>9078</v>
      </c>
      <c r="K12" s="3">
        <v>18428</v>
      </c>
      <c r="L12" s="3">
        <v>9350</v>
      </c>
    </row>
    <row r="13" spans="1:12" x14ac:dyDescent="0.3">
      <c r="A13" s="2">
        <v>45394</v>
      </c>
      <c r="B13" t="s">
        <v>44</v>
      </c>
      <c r="C13" t="s">
        <v>45</v>
      </c>
      <c r="D13" t="s">
        <v>46</v>
      </c>
      <c r="E13" t="s">
        <v>31</v>
      </c>
      <c r="F13" t="s">
        <v>24</v>
      </c>
      <c r="G13">
        <v>82</v>
      </c>
      <c r="H13" s="3">
        <v>622</v>
      </c>
      <c r="I13" s="3">
        <v>903</v>
      </c>
      <c r="J13" s="3">
        <v>51004</v>
      </c>
      <c r="K13" s="3">
        <v>74046</v>
      </c>
      <c r="L13" s="3">
        <v>23042</v>
      </c>
    </row>
    <row r="14" spans="1:12" x14ac:dyDescent="0.3">
      <c r="A14" s="2">
        <v>45395</v>
      </c>
      <c r="B14" t="s">
        <v>47</v>
      </c>
      <c r="C14" t="s">
        <v>45</v>
      </c>
      <c r="D14" t="s">
        <v>48</v>
      </c>
      <c r="E14" t="s">
        <v>49</v>
      </c>
      <c r="F14" t="s">
        <v>16</v>
      </c>
      <c r="G14">
        <v>27</v>
      </c>
      <c r="H14" s="3">
        <v>552</v>
      </c>
      <c r="I14" s="3">
        <v>1080</v>
      </c>
      <c r="J14" s="3">
        <v>14904</v>
      </c>
      <c r="K14" s="3">
        <v>29160</v>
      </c>
      <c r="L14" s="3">
        <v>14256</v>
      </c>
    </row>
    <row r="15" spans="1:12" x14ac:dyDescent="0.3">
      <c r="A15" s="2">
        <v>45396</v>
      </c>
      <c r="B15" t="s">
        <v>50</v>
      </c>
      <c r="C15" t="s">
        <v>37</v>
      </c>
      <c r="D15" t="s">
        <v>42</v>
      </c>
      <c r="E15" t="s">
        <v>51</v>
      </c>
      <c r="F15" t="s">
        <v>16</v>
      </c>
      <c r="G15">
        <v>56</v>
      </c>
      <c r="H15" s="3">
        <v>524</v>
      </c>
      <c r="I15" s="3">
        <v>1151</v>
      </c>
      <c r="J15" s="3">
        <v>29344</v>
      </c>
      <c r="K15" s="3">
        <v>64456</v>
      </c>
      <c r="L15" s="3">
        <v>35112</v>
      </c>
    </row>
    <row r="16" spans="1:12" x14ac:dyDescent="0.3">
      <c r="A16" s="2">
        <v>45397</v>
      </c>
      <c r="B16" t="s">
        <v>28</v>
      </c>
      <c r="C16" t="s">
        <v>18</v>
      </c>
      <c r="D16" t="s">
        <v>52</v>
      </c>
      <c r="E16" t="s">
        <v>31</v>
      </c>
      <c r="F16" t="s">
        <v>24</v>
      </c>
      <c r="G16">
        <v>24</v>
      </c>
      <c r="H16" s="3">
        <v>456</v>
      </c>
      <c r="I16" s="3">
        <v>841</v>
      </c>
      <c r="J16" s="3">
        <v>10944</v>
      </c>
      <c r="K16" s="3">
        <v>20184</v>
      </c>
      <c r="L16" s="3">
        <v>9240</v>
      </c>
    </row>
    <row r="17" spans="1:12" x14ac:dyDescent="0.3">
      <c r="A17" s="2">
        <v>45398</v>
      </c>
      <c r="B17" t="s">
        <v>40</v>
      </c>
      <c r="C17" t="s">
        <v>45</v>
      </c>
      <c r="D17" t="s">
        <v>53</v>
      </c>
      <c r="E17" t="s">
        <v>31</v>
      </c>
      <c r="F17" t="s">
        <v>16</v>
      </c>
      <c r="G17">
        <v>58</v>
      </c>
      <c r="H17" s="3">
        <v>910</v>
      </c>
      <c r="I17" s="3">
        <v>1998</v>
      </c>
      <c r="J17" s="3">
        <v>52780</v>
      </c>
      <c r="K17" s="3">
        <v>115884</v>
      </c>
      <c r="L17" s="3">
        <v>63104</v>
      </c>
    </row>
    <row r="18" spans="1:12" x14ac:dyDescent="0.3">
      <c r="A18" s="2">
        <v>45399</v>
      </c>
      <c r="B18" t="s">
        <v>54</v>
      </c>
      <c r="C18" t="s">
        <v>37</v>
      </c>
      <c r="D18" t="s">
        <v>42</v>
      </c>
      <c r="E18" t="s">
        <v>55</v>
      </c>
      <c r="F18" t="s">
        <v>24</v>
      </c>
      <c r="G18">
        <v>97</v>
      </c>
      <c r="H18" s="3">
        <v>417</v>
      </c>
      <c r="I18" s="3">
        <v>791</v>
      </c>
      <c r="J18" s="3">
        <v>40449</v>
      </c>
      <c r="K18" s="3">
        <v>76727</v>
      </c>
      <c r="L18" s="3">
        <v>36278</v>
      </c>
    </row>
    <row r="19" spans="1:12" x14ac:dyDescent="0.3">
      <c r="A19" s="2">
        <v>45400</v>
      </c>
      <c r="B19" t="s">
        <v>50</v>
      </c>
      <c r="C19" t="s">
        <v>37</v>
      </c>
      <c r="D19" t="s">
        <v>56</v>
      </c>
      <c r="E19" t="s">
        <v>31</v>
      </c>
      <c r="F19" t="s">
        <v>16</v>
      </c>
      <c r="G19">
        <v>65</v>
      </c>
      <c r="H19" s="3">
        <v>461</v>
      </c>
      <c r="I19" s="3">
        <v>774</v>
      </c>
      <c r="J19" s="3">
        <v>29965</v>
      </c>
      <c r="K19" s="3">
        <v>50310</v>
      </c>
      <c r="L19" s="3">
        <v>20345</v>
      </c>
    </row>
    <row r="20" spans="1:12" x14ac:dyDescent="0.3">
      <c r="A20" s="2">
        <v>45401</v>
      </c>
      <c r="B20" t="s">
        <v>57</v>
      </c>
      <c r="C20" t="s">
        <v>37</v>
      </c>
      <c r="D20" t="s">
        <v>42</v>
      </c>
      <c r="E20" t="s">
        <v>27</v>
      </c>
      <c r="F20" t="s">
        <v>24</v>
      </c>
      <c r="G20">
        <v>74</v>
      </c>
      <c r="H20" s="3">
        <v>408</v>
      </c>
      <c r="I20" s="3">
        <v>847</v>
      </c>
      <c r="J20" s="3">
        <v>30192</v>
      </c>
      <c r="K20" s="3">
        <v>62678</v>
      </c>
      <c r="L20" s="3">
        <v>32486</v>
      </c>
    </row>
    <row r="21" spans="1:12" x14ac:dyDescent="0.3">
      <c r="A21" s="2">
        <v>45402</v>
      </c>
      <c r="B21" t="s">
        <v>58</v>
      </c>
      <c r="C21" t="s">
        <v>18</v>
      </c>
      <c r="D21" t="s">
        <v>22</v>
      </c>
      <c r="E21" t="s">
        <v>43</v>
      </c>
      <c r="F21" t="s">
        <v>24</v>
      </c>
      <c r="G21">
        <v>57</v>
      </c>
      <c r="H21" s="3">
        <v>465</v>
      </c>
      <c r="I21" s="3">
        <v>819</v>
      </c>
      <c r="J21" s="3">
        <v>26505</v>
      </c>
      <c r="K21" s="3">
        <v>46683</v>
      </c>
      <c r="L21" s="3">
        <v>20178</v>
      </c>
    </row>
    <row r="22" spans="1:12" x14ac:dyDescent="0.3">
      <c r="A22" s="2">
        <v>45403</v>
      </c>
      <c r="B22" t="s">
        <v>54</v>
      </c>
      <c r="C22" t="s">
        <v>13</v>
      </c>
      <c r="D22" t="s">
        <v>34</v>
      </c>
      <c r="E22" t="s">
        <v>39</v>
      </c>
      <c r="F22" t="s">
        <v>16</v>
      </c>
      <c r="G22">
        <v>12</v>
      </c>
      <c r="H22" s="3">
        <v>414</v>
      </c>
      <c r="I22" s="3">
        <v>882</v>
      </c>
      <c r="J22" s="3">
        <v>4968</v>
      </c>
      <c r="K22" s="3">
        <v>10584</v>
      </c>
      <c r="L22" s="3">
        <v>5616</v>
      </c>
    </row>
    <row r="23" spans="1:12" x14ac:dyDescent="0.3">
      <c r="A23" s="2">
        <v>45404</v>
      </c>
      <c r="B23" t="s">
        <v>58</v>
      </c>
      <c r="C23" t="s">
        <v>29</v>
      </c>
      <c r="D23" t="s">
        <v>59</v>
      </c>
      <c r="E23" t="s">
        <v>43</v>
      </c>
      <c r="F23" t="s">
        <v>24</v>
      </c>
      <c r="G23">
        <v>20</v>
      </c>
      <c r="H23" s="3">
        <v>797</v>
      </c>
      <c r="I23" s="3">
        <v>1614</v>
      </c>
      <c r="J23" s="3">
        <v>15940</v>
      </c>
      <c r="K23" s="3">
        <v>32280</v>
      </c>
      <c r="L23" s="3">
        <v>16340</v>
      </c>
    </row>
    <row r="24" spans="1:12" x14ac:dyDescent="0.3">
      <c r="A24" s="2">
        <v>45405</v>
      </c>
      <c r="B24" t="s">
        <v>50</v>
      </c>
      <c r="C24" t="s">
        <v>29</v>
      </c>
      <c r="D24" t="s">
        <v>60</v>
      </c>
      <c r="E24" t="s">
        <v>41</v>
      </c>
      <c r="F24" t="s">
        <v>16</v>
      </c>
      <c r="G24">
        <v>80</v>
      </c>
      <c r="H24" s="3">
        <v>469</v>
      </c>
      <c r="I24" s="3">
        <v>704</v>
      </c>
      <c r="J24" s="3">
        <v>37520</v>
      </c>
      <c r="K24" s="3">
        <v>56320</v>
      </c>
      <c r="L24" s="3">
        <v>18800</v>
      </c>
    </row>
    <row r="25" spans="1:12" x14ac:dyDescent="0.3">
      <c r="A25" s="2">
        <v>45406</v>
      </c>
      <c r="B25" t="s">
        <v>61</v>
      </c>
      <c r="C25" t="s">
        <v>45</v>
      </c>
      <c r="D25" t="s">
        <v>62</v>
      </c>
      <c r="E25" t="s">
        <v>63</v>
      </c>
      <c r="F25" t="s">
        <v>24</v>
      </c>
      <c r="G25">
        <v>49</v>
      </c>
      <c r="H25" s="3">
        <v>708</v>
      </c>
      <c r="I25" s="3">
        <v>1554</v>
      </c>
      <c r="J25" s="3">
        <v>34692</v>
      </c>
      <c r="K25" s="3">
        <v>76146</v>
      </c>
      <c r="L25" s="3">
        <v>41454</v>
      </c>
    </row>
    <row r="26" spans="1:12" x14ac:dyDescent="0.3">
      <c r="A26" s="2">
        <v>45407</v>
      </c>
      <c r="B26" t="s">
        <v>12</v>
      </c>
      <c r="C26" t="s">
        <v>37</v>
      </c>
      <c r="D26" t="s">
        <v>64</v>
      </c>
      <c r="E26" t="s">
        <v>63</v>
      </c>
      <c r="F26" t="s">
        <v>16</v>
      </c>
      <c r="G26">
        <v>25</v>
      </c>
      <c r="H26" s="3">
        <v>553</v>
      </c>
      <c r="I26" s="3">
        <v>809</v>
      </c>
      <c r="J26" s="3">
        <v>13825</v>
      </c>
      <c r="K26" s="3">
        <v>20225</v>
      </c>
      <c r="L26" s="3">
        <v>6400</v>
      </c>
    </row>
    <row r="27" spans="1:12" x14ac:dyDescent="0.3">
      <c r="A27" s="2">
        <v>45408</v>
      </c>
      <c r="B27" t="s">
        <v>44</v>
      </c>
      <c r="C27" t="s">
        <v>13</v>
      </c>
      <c r="D27" t="s">
        <v>34</v>
      </c>
      <c r="E27" t="s">
        <v>65</v>
      </c>
      <c r="F27" t="s">
        <v>24</v>
      </c>
      <c r="G27">
        <v>85</v>
      </c>
      <c r="H27" s="3">
        <v>525</v>
      </c>
      <c r="I27" s="3">
        <v>659</v>
      </c>
      <c r="J27" s="3">
        <v>44625</v>
      </c>
      <c r="K27" s="3">
        <v>56015</v>
      </c>
      <c r="L27" s="3">
        <v>11390</v>
      </c>
    </row>
    <row r="28" spans="1:12" x14ac:dyDescent="0.3">
      <c r="A28" s="2">
        <v>45409</v>
      </c>
      <c r="B28" t="s">
        <v>66</v>
      </c>
      <c r="C28" t="s">
        <v>13</v>
      </c>
      <c r="D28" t="s">
        <v>67</v>
      </c>
      <c r="E28" t="s">
        <v>31</v>
      </c>
      <c r="F28" t="s">
        <v>24</v>
      </c>
      <c r="G28">
        <v>52</v>
      </c>
      <c r="H28" s="3">
        <v>372</v>
      </c>
      <c r="I28" s="3">
        <v>646</v>
      </c>
      <c r="J28" s="3">
        <v>19344</v>
      </c>
      <c r="K28" s="3">
        <v>33592</v>
      </c>
      <c r="L28" s="3">
        <v>14248</v>
      </c>
    </row>
    <row r="29" spans="1:12" x14ac:dyDescent="0.3">
      <c r="A29" s="2">
        <v>45410</v>
      </c>
      <c r="B29" t="s">
        <v>68</v>
      </c>
      <c r="C29" t="s">
        <v>45</v>
      </c>
      <c r="D29" t="s">
        <v>62</v>
      </c>
      <c r="E29" t="s">
        <v>65</v>
      </c>
      <c r="F29" t="s">
        <v>24</v>
      </c>
      <c r="G29">
        <v>83</v>
      </c>
      <c r="H29" s="3">
        <v>890</v>
      </c>
      <c r="I29" s="3">
        <v>1512</v>
      </c>
      <c r="J29" s="3">
        <v>73870</v>
      </c>
      <c r="K29" s="3">
        <v>125496</v>
      </c>
      <c r="L29" s="3">
        <v>51626</v>
      </c>
    </row>
    <row r="30" spans="1:12" x14ac:dyDescent="0.3">
      <c r="A30" s="2">
        <v>45411</v>
      </c>
      <c r="B30" t="s">
        <v>47</v>
      </c>
      <c r="C30" t="s">
        <v>45</v>
      </c>
      <c r="D30" t="s">
        <v>62</v>
      </c>
      <c r="E30" t="s">
        <v>31</v>
      </c>
      <c r="F30" t="s">
        <v>24</v>
      </c>
      <c r="G30">
        <v>94</v>
      </c>
      <c r="H30" s="3">
        <v>741</v>
      </c>
      <c r="I30" s="3">
        <v>1175</v>
      </c>
      <c r="J30" s="3">
        <v>69654</v>
      </c>
      <c r="K30" s="3">
        <v>110450</v>
      </c>
      <c r="L30" s="3">
        <v>40796</v>
      </c>
    </row>
    <row r="31" spans="1:12" x14ac:dyDescent="0.3">
      <c r="A31" s="2">
        <v>45412</v>
      </c>
      <c r="B31" t="s">
        <v>69</v>
      </c>
      <c r="C31" t="s">
        <v>45</v>
      </c>
      <c r="D31" t="s">
        <v>70</v>
      </c>
      <c r="E31" t="s">
        <v>41</v>
      </c>
      <c r="F31" t="s">
        <v>24</v>
      </c>
      <c r="G31">
        <v>17</v>
      </c>
      <c r="H31" s="3">
        <v>712</v>
      </c>
      <c r="I31" s="3">
        <v>1382</v>
      </c>
      <c r="J31" s="3">
        <v>12104</v>
      </c>
      <c r="K31" s="3">
        <v>23494</v>
      </c>
      <c r="L31" s="3">
        <v>11390</v>
      </c>
    </row>
    <row r="32" spans="1:12" x14ac:dyDescent="0.3">
      <c r="A32" s="2">
        <v>45413</v>
      </c>
      <c r="B32" t="s">
        <v>17</v>
      </c>
      <c r="C32" t="s">
        <v>29</v>
      </c>
      <c r="D32" t="s">
        <v>60</v>
      </c>
      <c r="E32" t="s">
        <v>43</v>
      </c>
      <c r="F32" t="s">
        <v>16</v>
      </c>
      <c r="G32">
        <v>27</v>
      </c>
      <c r="H32" s="3">
        <v>732</v>
      </c>
      <c r="I32" s="3">
        <v>1042</v>
      </c>
      <c r="J32" s="3">
        <v>19764</v>
      </c>
      <c r="K32" s="3">
        <v>28134</v>
      </c>
      <c r="L32" s="3">
        <v>8370</v>
      </c>
    </row>
    <row r="33" spans="1:12" x14ac:dyDescent="0.3">
      <c r="A33" s="2">
        <v>45414</v>
      </c>
      <c r="B33" t="s">
        <v>25</v>
      </c>
      <c r="C33" t="s">
        <v>29</v>
      </c>
      <c r="D33" t="s">
        <v>59</v>
      </c>
      <c r="E33" t="s">
        <v>71</v>
      </c>
      <c r="F33" t="s">
        <v>24</v>
      </c>
      <c r="G33">
        <v>16</v>
      </c>
      <c r="H33" s="3">
        <v>967</v>
      </c>
      <c r="I33" s="3">
        <v>2126</v>
      </c>
      <c r="J33" s="3">
        <v>15472</v>
      </c>
      <c r="K33" s="3">
        <v>34016</v>
      </c>
      <c r="L33" s="3">
        <v>18544</v>
      </c>
    </row>
    <row r="34" spans="1:12" x14ac:dyDescent="0.3">
      <c r="A34" s="2">
        <v>45415</v>
      </c>
      <c r="B34" t="s">
        <v>72</v>
      </c>
      <c r="C34" t="s">
        <v>13</v>
      </c>
      <c r="D34" t="s">
        <v>67</v>
      </c>
      <c r="E34" t="s">
        <v>49</v>
      </c>
      <c r="F34" t="s">
        <v>16</v>
      </c>
      <c r="G34">
        <v>72</v>
      </c>
      <c r="H34" s="3">
        <v>792</v>
      </c>
      <c r="I34" s="3">
        <v>1150</v>
      </c>
      <c r="J34" s="3">
        <v>57024</v>
      </c>
      <c r="K34" s="3">
        <v>82800</v>
      </c>
      <c r="L34" s="3">
        <v>25776</v>
      </c>
    </row>
    <row r="35" spans="1:12" x14ac:dyDescent="0.3">
      <c r="A35" s="2">
        <v>45416</v>
      </c>
      <c r="B35" t="s">
        <v>33</v>
      </c>
      <c r="C35" t="s">
        <v>13</v>
      </c>
      <c r="D35" t="s">
        <v>67</v>
      </c>
      <c r="E35" t="s">
        <v>51</v>
      </c>
      <c r="F35" t="s">
        <v>24</v>
      </c>
      <c r="G35">
        <v>59</v>
      </c>
      <c r="H35" s="3">
        <v>571</v>
      </c>
      <c r="I35" s="3">
        <v>1216</v>
      </c>
      <c r="J35" s="3">
        <v>33689</v>
      </c>
      <c r="K35" s="3">
        <v>71744</v>
      </c>
      <c r="L35" s="3">
        <v>38055</v>
      </c>
    </row>
    <row r="36" spans="1:12" x14ac:dyDescent="0.3">
      <c r="A36" s="2">
        <v>45417</v>
      </c>
      <c r="B36" t="s">
        <v>25</v>
      </c>
      <c r="C36" t="s">
        <v>37</v>
      </c>
      <c r="D36" t="s">
        <v>64</v>
      </c>
      <c r="E36" t="s">
        <v>15</v>
      </c>
      <c r="F36" t="s">
        <v>16</v>
      </c>
      <c r="G36">
        <v>29</v>
      </c>
      <c r="H36" s="3">
        <v>494</v>
      </c>
      <c r="I36" s="3">
        <v>756</v>
      </c>
      <c r="J36" s="3">
        <v>14326</v>
      </c>
      <c r="K36" s="3">
        <v>21924</v>
      </c>
      <c r="L36" s="3">
        <v>7598</v>
      </c>
    </row>
    <row r="37" spans="1:12" x14ac:dyDescent="0.3">
      <c r="A37" s="2">
        <v>45418</v>
      </c>
      <c r="B37" t="s">
        <v>36</v>
      </c>
      <c r="C37" t="s">
        <v>18</v>
      </c>
      <c r="D37" t="s">
        <v>22</v>
      </c>
      <c r="E37" t="s">
        <v>23</v>
      </c>
      <c r="F37" t="s">
        <v>16</v>
      </c>
      <c r="G37">
        <v>17</v>
      </c>
      <c r="H37" s="3">
        <v>351</v>
      </c>
      <c r="I37" s="3">
        <v>633</v>
      </c>
      <c r="J37" s="3">
        <v>5967</v>
      </c>
      <c r="K37" s="3">
        <v>10761</v>
      </c>
      <c r="L37" s="3">
        <v>4794</v>
      </c>
    </row>
    <row r="38" spans="1:12" x14ac:dyDescent="0.3">
      <c r="A38" s="2">
        <v>45419</v>
      </c>
      <c r="B38" t="s">
        <v>54</v>
      </c>
      <c r="C38" t="s">
        <v>18</v>
      </c>
      <c r="D38" t="s">
        <v>73</v>
      </c>
      <c r="E38" t="s">
        <v>23</v>
      </c>
      <c r="F38" t="s">
        <v>24</v>
      </c>
      <c r="G38">
        <v>33</v>
      </c>
      <c r="H38" s="3">
        <v>370</v>
      </c>
      <c r="I38" s="3">
        <v>671</v>
      </c>
      <c r="J38" s="3">
        <v>12210</v>
      </c>
      <c r="K38" s="3">
        <v>22143</v>
      </c>
      <c r="L38" s="3">
        <v>9933</v>
      </c>
    </row>
    <row r="39" spans="1:12" x14ac:dyDescent="0.3">
      <c r="A39" s="2">
        <v>45420</v>
      </c>
      <c r="B39" t="s">
        <v>40</v>
      </c>
      <c r="C39" t="s">
        <v>29</v>
      </c>
      <c r="D39" t="s">
        <v>74</v>
      </c>
      <c r="E39" t="s">
        <v>31</v>
      </c>
      <c r="F39" t="s">
        <v>24</v>
      </c>
      <c r="G39">
        <v>84</v>
      </c>
      <c r="H39" s="3">
        <v>908</v>
      </c>
      <c r="I39" s="3">
        <v>1169</v>
      </c>
      <c r="J39" s="3">
        <v>76272</v>
      </c>
      <c r="K39" s="3">
        <v>98196</v>
      </c>
      <c r="L39" s="3">
        <v>21924</v>
      </c>
    </row>
    <row r="40" spans="1:12" x14ac:dyDescent="0.3">
      <c r="A40" s="2">
        <v>45421</v>
      </c>
      <c r="B40" t="s">
        <v>75</v>
      </c>
      <c r="C40" t="s">
        <v>45</v>
      </c>
      <c r="D40" t="s">
        <v>53</v>
      </c>
      <c r="E40" t="s">
        <v>20</v>
      </c>
      <c r="F40" t="s">
        <v>16</v>
      </c>
      <c r="G40">
        <v>43</v>
      </c>
      <c r="H40" s="3">
        <v>509</v>
      </c>
      <c r="I40" s="3">
        <v>960</v>
      </c>
      <c r="J40" s="3">
        <v>21887</v>
      </c>
      <c r="K40" s="3">
        <v>41280</v>
      </c>
      <c r="L40" s="3">
        <v>19393</v>
      </c>
    </row>
    <row r="41" spans="1:12" x14ac:dyDescent="0.3">
      <c r="A41" s="2">
        <v>45422</v>
      </c>
      <c r="B41" t="s">
        <v>44</v>
      </c>
      <c r="C41" t="s">
        <v>29</v>
      </c>
      <c r="D41" t="s">
        <v>30</v>
      </c>
      <c r="E41" t="s">
        <v>51</v>
      </c>
      <c r="F41" t="s">
        <v>24</v>
      </c>
      <c r="G41">
        <v>95</v>
      </c>
      <c r="H41" s="3">
        <v>960</v>
      </c>
      <c r="I41" s="3">
        <v>1473</v>
      </c>
      <c r="J41" s="3">
        <v>91200</v>
      </c>
      <c r="K41" s="3">
        <v>139935</v>
      </c>
      <c r="L41" s="3">
        <v>48735</v>
      </c>
    </row>
    <row r="42" spans="1:12" x14ac:dyDescent="0.3">
      <c r="A42" s="2">
        <v>45423</v>
      </c>
      <c r="B42" t="s">
        <v>44</v>
      </c>
      <c r="C42" t="s">
        <v>13</v>
      </c>
      <c r="D42" t="s">
        <v>14</v>
      </c>
      <c r="E42" t="s">
        <v>71</v>
      </c>
      <c r="F42" t="s">
        <v>24</v>
      </c>
      <c r="G42">
        <v>19</v>
      </c>
      <c r="H42" s="3">
        <v>850</v>
      </c>
      <c r="I42" s="3">
        <v>1234</v>
      </c>
      <c r="J42" s="3">
        <v>16150</v>
      </c>
      <c r="K42" s="3">
        <v>23446</v>
      </c>
      <c r="L42" s="3">
        <v>7296</v>
      </c>
    </row>
    <row r="43" spans="1:12" x14ac:dyDescent="0.3">
      <c r="A43" s="2">
        <v>45424</v>
      </c>
      <c r="B43" t="s">
        <v>68</v>
      </c>
      <c r="C43" t="s">
        <v>29</v>
      </c>
      <c r="D43" t="s">
        <v>30</v>
      </c>
      <c r="E43" t="s">
        <v>63</v>
      </c>
      <c r="F43" t="s">
        <v>24</v>
      </c>
      <c r="G43">
        <v>41</v>
      </c>
      <c r="H43" s="3">
        <v>678</v>
      </c>
      <c r="I43" s="3">
        <v>1031</v>
      </c>
      <c r="J43" s="3">
        <v>27798</v>
      </c>
      <c r="K43" s="3">
        <v>42271</v>
      </c>
      <c r="L43" s="3">
        <v>14473</v>
      </c>
    </row>
    <row r="44" spans="1:12" x14ac:dyDescent="0.3">
      <c r="A44" s="2">
        <v>45425</v>
      </c>
      <c r="B44" t="s">
        <v>25</v>
      </c>
      <c r="C44" t="s">
        <v>18</v>
      </c>
      <c r="D44" t="s">
        <v>26</v>
      </c>
      <c r="E44" t="s">
        <v>20</v>
      </c>
      <c r="F44" t="s">
        <v>24</v>
      </c>
      <c r="G44">
        <v>95</v>
      </c>
      <c r="H44" s="3">
        <v>867</v>
      </c>
      <c r="I44" s="3">
        <v>1330</v>
      </c>
      <c r="J44" s="3">
        <v>82365</v>
      </c>
      <c r="K44" s="3">
        <v>126350</v>
      </c>
      <c r="L44" s="3">
        <v>43985</v>
      </c>
    </row>
    <row r="45" spans="1:12" x14ac:dyDescent="0.3">
      <c r="A45" s="2">
        <v>45426</v>
      </c>
      <c r="B45" t="s">
        <v>40</v>
      </c>
      <c r="C45" t="s">
        <v>13</v>
      </c>
      <c r="D45" t="s">
        <v>67</v>
      </c>
      <c r="E45" t="s">
        <v>35</v>
      </c>
      <c r="F45" t="s">
        <v>24</v>
      </c>
      <c r="G45">
        <v>23</v>
      </c>
      <c r="H45" s="3">
        <v>866</v>
      </c>
      <c r="I45" s="3">
        <v>1210</v>
      </c>
      <c r="J45" s="3">
        <v>19918</v>
      </c>
      <c r="K45" s="3">
        <v>27830</v>
      </c>
      <c r="L45" s="3">
        <v>7912</v>
      </c>
    </row>
    <row r="46" spans="1:12" x14ac:dyDescent="0.3">
      <c r="A46" s="2">
        <v>45427</v>
      </c>
      <c r="B46" t="s">
        <v>58</v>
      </c>
      <c r="C46" t="s">
        <v>18</v>
      </c>
      <c r="D46" t="s">
        <v>73</v>
      </c>
      <c r="E46" t="s">
        <v>15</v>
      </c>
      <c r="F46" t="s">
        <v>16</v>
      </c>
      <c r="G46">
        <v>36</v>
      </c>
      <c r="H46" s="3">
        <v>949</v>
      </c>
      <c r="I46" s="3">
        <v>1955</v>
      </c>
      <c r="J46" s="3">
        <v>34164</v>
      </c>
      <c r="K46" s="3">
        <v>70380</v>
      </c>
      <c r="L46" s="3">
        <v>36216</v>
      </c>
    </row>
    <row r="47" spans="1:12" x14ac:dyDescent="0.3">
      <c r="A47" s="2">
        <v>45428</v>
      </c>
      <c r="B47" t="s">
        <v>54</v>
      </c>
      <c r="C47" t="s">
        <v>45</v>
      </c>
      <c r="D47" t="s">
        <v>46</v>
      </c>
      <c r="E47" t="s">
        <v>63</v>
      </c>
      <c r="F47" t="s">
        <v>24</v>
      </c>
      <c r="G47">
        <v>21</v>
      </c>
      <c r="H47" s="3">
        <v>949</v>
      </c>
      <c r="I47" s="3">
        <v>1568</v>
      </c>
      <c r="J47" s="3">
        <v>19929</v>
      </c>
      <c r="K47" s="3">
        <v>32928</v>
      </c>
      <c r="L47" s="3">
        <v>12999</v>
      </c>
    </row>
    <row r="48" spans="1:12" x14ac:dyDescent="0.3">
      <c r="A48" s="2">
        <v>45429</v>
      </c>
      <c r="B48" t="s">
        <v>68</v>
      </c>
      <c r="C48" t="s">
        <v>13</v>
      </c>
      <c r="D48" t="s">
        <v>14</v>
      </c>
      <c r="E48" t="s">
        <v>39</v>
      </c>
      <c r="F48" t="s">
        <v>24</v>
      </c>
      <c r="G48">
        <v>91</v>
      </c>
      <c r="H48" s="3">
        <v>568</v>
      </c>
      <c r="I48" s="3">
        <v>797</v>
      </c>
      <c r="J48" s="3">
        <v>51688</v>
      </c>
      <c r="K48" s="3">
        <v>72527</v>
      </c>
      <c r="L48" s="3">
        <v>20839</v>
      </c>
    </row>
    <row r="49" spans="1:12" x14ac:dyDescent="0.3">
      <c r="A49" s="2">
        <v>45430</v>
      </c>
      <c r="B49" t="s">
        <v>25</v>
      </c>
      <c r="C49" t="s">
        <v>18</v>
      </c>
      <c r="D49" t="s">
        <v>52</v>
      </c>
      <c r="E49" t="s">
        <v>65</v>
      </c>
      <c r="F49" t="s">
        <v>24</v>
      </c>
      <c r="G49">
        <v>24</v>
      </c>
      <c r="H49" s="3">
        <v>377</v>
      </c>
      <c r="I49" s="3">
        <v>809</v>
      </c>
      <c r="J49" s="3">
        <v>9048</v>
      </c>
      <c r="K49" s="3">
        <v>19416</v>
      </c>
      <c r="L49" s="3">
        <v>10368</v>
      </c>
    </row>
    <row r="50" spans="1:12" x14ac:dyDescent="0.3">
      <c r="A50" s="2">
        <v>45431</v>
      </c>
      <c r="B50" t="s">
        <v>66</v>
      </c>
      <c r="C50" t="s">
        <v>29</v>
      </c>
      <c r="D50" t="s">
        <v>76</v>
      </c>
      <c r="E50" t="s">
        <v>23</v>
      </c>
      <c r="F50" t="s">
        <v>16</v>
      </c>
      <c r="G50">
        <v>84</v>
      </c>
      <c r="H50" s="3">
        <v>865</v>
      </c>
      <c r="I50" s="3">
        <v>1202</v>
      </c>
      <c r="J50" s="3">
        <v>72660</v>
      </c>
      <c r="K50" s="3">
        <v>100968</v>
      </c>
      <c r="L50" s="3">
        <v>28308</v>
      </c>
    </row>
    <row r="51" spans="1:12" x14ac:dyDescent="0.3">
      <c r="A51" s="2">
        <v>45432</v>
      </c>
      <c r="B51" t="s">
        <v>28</v>
      </c>
      <c r="C51" t="s">
        <v>13</v>
      </c>
      <c r="D51" t="s">
        <v>77</v>
      </c>
      <c r="E51" t="s">
        <v>39</v>
      </c>
      <c r="F51" t="s">
        <v>24</v>
      </c>
      <c r="G51">
        <v>55</v>
      </c>
      <c r="H51" s="3">
        <v>515</v>
      </c>
      <c r="I51" s="3">
        <v>977</v>
      </c>
      <c r="J51" s="3">
        <v>28325</v>
      </c>
      <c r="K51" s="3">
        <v>53735</v>
      </c>
      <c r="L51" s="3">
        <v>25410</v>
      </c>
    </row>
    <row r="52" spans="1:12" x14ac:dyDescent="0.3">
      <c r="A52" s="2">
        <v>45433</v>
      </c>
      <c r="B52" t="s">
        <v>40</v>
      </c>
      <c r="C52" t="s">
        <v>13</v>
      </c>
      <c r="D52" t="s">
        <v>77</v>
      </c>
      <c r="E52" t="s">
        <v>27</v>
      </c>
      <c r="F52" t="s">
        <v>16</v>
      </c>
      <c r="G52">
        <v>89</v>
      </c>
      <c r="H52" s="3">
        <v>458</v>
      </c>
      <c r="I52" s="3">
        <v>975</v>
      </c>
      <c r="J52" s="3">
        <v>40762</v>
      </c>
      <c r="K52" s="3">
        <v>86775</v>
      </c>
      <c r="L52" s="3">
        <v>46013</v>
      </c>
    </row>
    <row r="53" spans="1:12" x14ac:dyDescent="0.3">
      <c r="A53" s="2">
        <v>45434</v>
      </c>
      <c r="B53" t="s">
        <v>21</v>
      </c>
      <c r="C53" t="s">
        <v>29</v>
      </c>
      <c r="D53" t="s">
        <v>60</v>
      </c>
      <c r="E53" t="s">
        <v>63</v>
      </c>
      <c r="F53" t="s">
        <v>16</v>
      </c>
      <c r="G53">
        <v>13</v>
      </c>
      <c r="H53" s="3">
        <v>483</v>
      </c>
      <c r="I53" s="3">
        <v>941</v>
      </c>
      <c r="J53" s="3">
        <v>6279</v>
      </c>
      <c r="K53" s="3">
        <v>12233</v>
      </c>
      <c r="L53" s="3">
        <v>5954</v>
      </c>
    </row>
    <row r="54" spans="1:12" x14ac:dyDescent="0.3">
      <c r="A54" s="2">
        <v>45435</v>
      </c>
      <c r="B54" t="s">
        <v>44</v>
      </c>
      <c r="C54" t="s">
        <v>45</v>
      </c>
      <c r="D54" t="s">
        <v>62</v>
      </c>
      <c r="E54" t="s">
        <v>35</v>
      </c>
      <c r="F54" t="s">
        <v>24</v>
      </c>
      <c r="G54">
        <v>99</v>
      </c>
      <c r="H54" s="3">
        <v>410</v>
      </c>
      <c r="I54" s="3">
        <v>661</v>
      </c>
      <c r="J54" s="3">
        <v>40590</v>
      </c>
      <c r="K54" s="3">
        <v>65439</v>
      </c>
      <c r="L54" s="3">
        <v>24849</v>
      </c>
    </row>
    <row r="55" spans="1:12" x14ac:dyDescent="0.3">
      <c r="A55" s="2">
        <v>45436</v>
      </c>
      <c r="B55" t="s">
        <v>36</v>
      </c>
      <c r="C55" t="s">
        <v>45</v>
      </c>
      <c r="D55" t="s">
        <v>62</v>
      </c>
      <c r="E55" t="s">
        <v>43</v>
      </c>
      <c r="F55" t="s">
        <v>16</v>
      </c>
      <c r="G55">
        <v>54</v>
      </c>
      <c r="H55" s="3">
        <v>612</v>
      </c>
      <c r="I55" s="3">
        <v>1242</v>
      </c>
      <c r="J55" s="3">
        <v>33048</v>
      </c>
      <c r="K55" s="3">
        <v>67068</v>
      </c>
      <c r="L55" s="3">
        <v>34020</v>
      </c>
    </row>
    <row r="56" spans="1:12" x14ac:dyDescent="0.3">
      <c r="A56" s="2">
        <v>45437</v>
      </c>
      <c r="B56" t="s">
        <v>21</v>
      </c>
      <c r="C56" t="s">
        <v>29</v>
      </c>
      <c r="D56" t="s">
        <v>59</v>
      </c>
      <c r="E56" t="s">
        <v>41</v>
      </c>
      <c r="F56" t="s">
        <v>24</v>
      </c>
      <c r="G56">
        <v>61</v>
      </c>
      <c r="H56" s="3">
        <v>636</v>
      </c>
      <c r="I56" s="3">
        <v>963</v>
      </c>
      <c r="J56" s="3">
        <v>38796</v>
      </c>
      <c r="K56" s="3">
        <v>58743</v>
      </c>
      <c r="L56" s="3">
        <v>19947</v>
      </c>
    </row>
    <row r="57" spans="1:12" x14ac:dyDescent="0.3">
      <c r="A57" s="2">
        <v>45438</v>
      </c>
      <c r="B57" t="s">
        <v>75</v>
      </c>
      <c r="C57" t="s">
        <v>37</v>
      </c>
      <c r="D57" t="s">
        <v>56</v>
      </c>
      <c r="E57" t="s">
        <v>41</v>
      </c>
      <c r="F57" t="s">
        <v>16</v>
      </c>
      <c r="G57">
        <v>96</v>
      </c>
      <c r="H57" s="3">
        <v>849</v>
      </c>
      <c r="I57" s="3">
        <v>1328</v>
      </c>
      <c r="J57" s="3">
        <v>81504</v>
      </c>
      <c r="K57" s="3">
        <v>127488</v>
      </c>
      <c r="L57" s="3">
        <v>45984</v>
      </c>
    </row>
    <row r="58" spans="1:12" x14ac:dyDescent="0.3">
      <c r="A58" s="2">
        <v>45439</v>
      </c>
      <c r="B58" t="s">
        <v>72</v>
      </c>
      <c r="C58" t="s">
        <v>13</v>
      </c>
      <c r="D58" t="s">
        <v>77</v>
      </c>
      <c r="E58" t="s">
        <v>49</v>
      </c>
      <c r="F58" t="s">
        <v>16</v>
      </c>
      <c r="G58">
        <v>14</v>
      </c>
      <c r="H58" s="3">
        <v>411</v>
      </c>
      <c r="I58" s="3">
        <v>746</v>
      </c>
      <c r="J58" s="3">
        <v>5754</v>
      </c>
      <c r="K58" s="3">
        <v>10444</v>
      </c>
      <c r="L58" s="3">
        <v>4690</v>
      </c>
    </row>
    <row r="59" spans="1:12" x14ac:dyDescent="0.3">
      <c r="A59" s="2">
        <v>45440</v>
      </c>
      <c r="B59" t="s">
        <v>32</v>
      </c>
      <c r="C59" t="s">
        <v>37</v>
      </c>
      <c r="D59" t="s">
        <v>64</v>
      </c>
      <c r="E59" t="s">
        <v>20</v>
      </c>
      <c r="F59" t="s">
        <v>24</v>
      </c>
      <c r="G59">
        <v>59</v>
      </c>
      <c r="H59" s="3">
        <v>890</v>
      </c>
      <c r="I59" s="3">
        <v>1273</v>
      </c>
      <c r="J59" s="3">
        <v>52510</v>
      </c>
      <c r="K59" s="3">
        <v>75107</v>
      </c>
      <c r="L59" s="3">
        <v>22597</v>
      </c>
    </row>
    <row r="60" spans="1:12" x14ac:dyDescent="0.3">
      <c r="A60" s="2">
        <v>45441</v>
      </c>
      <c r="B60" t="s">
        <v>36</v>
      </c>
      <c r="C60" t="s">
        <v>45</v>
      </c>
      <c r="D60" t="s">
        <v>70</v>
      </c>
      <c r="E60" t="s">
        <v>65</v>
      </c>
      <c r="F60" t="s">
        <v>24</v>
      </c>
      <c r="G60">
        <v>56</v>
      </c>
      <c r="H60" s="3">
        <v>741</v>
      </c>
      <c r="I60" s="3">
        <v>975</v>
      </c>
      <c r="J60" s="3">
        <v>41496</v>
      </c>
      <c r="K60" s="3">
        <v>54600</v>
      </c>
      <c r="L60" s="3">
        <v>13104</v>
      </c>
    </row>
    <row r="61" spans="1:12" x14ac:dyDescent="0.3">
      <c r="A61" s="2">
        <v>45442</v>
      </c>
      <c r="B61" t="s">
        <v>40</v>
      </c>
      <c r="C61" t="s">
        <v>37</v>
      </c>
      <c r="D61" t="s">
        <v>42</v>
      </c>
      <c r="E61" t="s">
        <v>39</v>
      </c>
      <c r="F61" t="s">
        <v>24</v>
      </c>
      <c r="G61">
        <v>48</v>
      </c>
      <c r="H61" s="3">
        <v>819</v>
      </c>
      <c r="I61" s="3">
        <v>1264</v>
      </c>
      <c r="J61" s="3">
        <v>39312</v>
      </c>
      <c r="K61" s="3">
        <v>60672</v>
      </c>
      <c r="L61" s="3">
        <v>21360</v>
      </c>
    </row>
    <row r="62" spans="1:12" x14ac:dyDescent="0.3">
      <c r="A62" s="2">
        <v>45443</v>
      </c>
      <c r="B62" t="s">
        <v>69</v>
      </c>
      <c r="C62" t="s">
        <v>37</v>
      </c>
      <c r="D62" t="s">
        <v>64</v>
      </c>
      <c r="E62" t="s">
        <v>15</v>
      </c>
      <c r="F62" t="s">
        <v>16</v>
      </c>
      <c r="G62">
        <v>80</v>
      </c>
      <c r="H62" s="3">
        <v>430</v>
      </c>
      <c r="I62" s="3">
        <v>615</v>
      </c>
      <c r="J62" s="3">
        <v>34400</v>
      </c>
      <c r="K62" s="3">
        <v>49200</v>
      </c>
      <c r="L62" s="3">
        <v>14800</v>
      </c>
    </row>
    <row r="63" spans="1:12" x14ac:dyDescent="0.3">
      <c r="A63" s="2">
        <v>45444</v>
      </c>
      <c r="B63" t="s">
        <v>40</v>
      </c>
      <c r="C63" t="s">
        <v>45</v>
      </c>
      <c r="D63" t="s">
        <v>62</v>
      </c>
      <c r="E63" t="s">
        <v>20</v>
      </c>
      <c r="F63" t="s">
        <v>16</v>
      </c>
      <c r="G63">
        <v>61</v>
      </c>
      <c r="H63" s="3">
        <v>861</v>
      </c>
      <c r="I63" s="3">
        <v>1758</v>
      </c>
      <c r="J63" s="3">
        <v>52521</v>
      </c>
      <c r="K63" s="3">
        <v>107238</v>
      </c>
      <c r="L63" s="3">
        <v>54717</v>
      </c>
    </row>
    <row r="64" spans="1:12" x14ac:dyDescent="0.3">
      <c r="A64" s="2">
        <v>45445</v>
      </c>
      <c r="B64" t="s">
        <v>58</v>
      </c>
      <c r="C64" t="s">
        <v>37</v>
      </c>
      <c r="D64" t="s">
        <v>38</v>
      </c>
      <c r="E64" t="s">
        <v>51</v>
      </c>
      <c r="F64" t="s">
        <v>16</v>
      </c>
      <c r="G64">
        <v>69</v>
      </c>
      <c r="H64" s="3">
        <v>752</v>
      </c>
      <c r="I64" s="3">
        <v>1255</v>
      </c>
      <c r="J64" s="3">
        <v>51888</v>
      </c>
      <c r="K64" s="3">
        <v>86595</v>
      </c>
      <c r="L64" s="3">
        <v>34707</v>
      </c>
    </row>
    <row r="65" spans="1:12" x14ac:dyDescent="0.3">
      <c r="A65" s="2">
        <v>45446</v>
      </c>
      <c r="B65" t="s">
        <v>78</v>
      </c>
      <c r="C65" t="s">
        <v>18</v>
      </c>
      <c r="D65" t="s">
        <v>52</v>
      </c>
      <c r="E65" t="s">
        <v>27</v>
      </c>
      <c r="F65" t="s">
        <v>24</v>
      </c>
      <c r="G65">
        <v>94</v>
      </c>
      <c r="H65" s="3">
        <v>386</v>
      </c>
      <c r="I65" s="3">
        <v>586</v>
      </c>
      <c r="J65" s="3">
        <v>36284</v>
      </c>
      <c r="K65" s="3">
        <v>55084</v>
      </c>
      <c r="L65" s="3">
        <v>18800</v>
      </c>
    </row>
    <row r="66" spans="1:12" x14ac:dyDescent="0.3">
      <c r="A66" s="2">
        <v>45447</v>
      </c>
      <c r="B66" t="s">
        <v>40</v>
      </c>
      <c r="C66" t="s">
        <v>18</v>
      </c>
      <c r="D66" t="s">
        <v>26</v>
      </c>
      <c r="E66" t="s">
        <v>31</v>
      </c>
      <c r="F66" t="s">
        <v>24</v>
      </c>
      <c r="G66">
        <v>96</v>
      </c>
      <c r="H66" s="3">
        <v>617</v>
      </c>
      <c r="I66" s="3">
        <v>902</v>
      </c>
      <c r="J66" s="3">
        <v>59232</v>
      </c>
      <c r="K66" s="3">
        <v>86592</v>
      </c>
      <c r="L66" s="3">
        <v>27360</v>
      </c>
    </row>
    <row r="67" spans="1:12" x14ac:dyDescent="0.3">
      <c r="A67" s="2">
        <v>45448</v>
      </c>
      <c r="B67" t="s">
        <v>78</v>
      </c>
      <c r="C67" t="s">
        <v>29</v>
      </c>
      <c r="D67" t="s">
        <v>59</v>
      </c>
      <c r="E67" t="s">
        <v>23</v>
      </c>
      <c r="F67" t="s">
        <v>24</v>
      </c>
      <c r="G67">
        <v>70</v>
      </c>
      <c r="H67" s="3">
        <v>925</v>
      </c>
      <c r="I67" s="3">
        <v>1902</v>
      </c>
      <c r="J67" s="3">
        <v>64750</v>
      </c>
      <c r="K67" s="3">
        <v>133140</v>
      </c>
      <c r="L67" s="3">
        <v>68390</v>
      </c>
    </row>
    <row r="68" spans="1:12" x14ac:dyDescent="0.3">
      <c r="A68" s="2">
        <v>45449</v>
      </c>
      <c r="B68" t="s">
        <v>75</v>
      </c>
      <c r="C68" t="s">
        <v>45</v>
      </c>
      <c r="D68" t="s">
        <v>48</v>
      </c>
      <c r="E68" t="s">
        <v>63</v>
      </c>
      <c r="F68" t="s">
        <v>24</v>
      </c>
      <c r="G68">
        <v>99</v>
      </c>
      <c r="H68" s="3">
        <v>693</v>
      </c>
      <c r="I68" s="3">
        <v>1191</v>
      </c>
      <c r="J68" s="3">
        <v>68607</v>
      </c>
      <c r="K68" s="3">
        <v>117909</v>
      </c>
      <c r="L68" s="3">
        <v>49302</v>
      </c>
    </row>
    <row r="69" spans="1:12" x14ac:dyDescent="0.3">
      <c r="A69" s="2">
        <v>45450</v>
      </c>
      <c r="B69" t="s">
        <v>21</v>
      </c>
      <c r="C69" t="s">
        <v>29</v>
      </c>
      <c r="D69" t="s">
        <v>59</v>
      </c>
      <c r="E69" t="s">
        <v>63</v>
      </c>
      <c r="F69" t="s">
        <v>24</v>
      </c>
      <c r="G69">
        <v>64</v>
      </c>
      <c r="H69" s="3">
        <v>524</v>
      </c>
      <c r="I69" s="3">
        <v>742</v>
      </c>
      <c r="J69" s="3">
        <v>33536</v>
      </c>
      <c r="K69" s="3">
        <v>47488</v>
      </c>
      <c r="L69" s="3">
        <v>13952</v>
      </c>
    </row>
    <row r="70" spans="1:12" x14ac:dyDescent="0.3">
      <c r="A70" s="2">
        <v>45451</v>
      </c>
      <c r="B70" t="s">
        <v>66</v>
      </c>
      <c r="C70" t="s">
        <v>18</v>
      </c>
      <c r="D70" t="s">
        <v>52</v>
      </c>
      <c r="E70" t="s">
        <v>23</v>
      </c>
      <c r="F70" t="s">
        <v>24</v>
      </c>
      <c r="G70">
        <v>25</v>
      </c>
      <c r="H70" s="3">
        <v>767</v>
      </c>
      <c r="I70" s="3">
        <v>1055</v>
      </c>
      <c r="J70" s="3">
        <v>19175</v>
      </c>
      <c r="K70" s="3">
        <v>26375</v>
      </c>
      <c r="L70" s="3">
        <v>7200</v>
      </c>
    </row>
    <row r="71" spans="1:12" x14ac:dyDescent="0.3">
      <c r="A71" s="2">
        <v>45452</v>
      </c>
      <c r="B71" t="s">
        <v>25</v>
      </c>
      <c r="C71" t="s">
        <v>18</v>
      </c>
      <c r="D71" t="s">
        <v>22</v>
      </c>
      <c r="E71" t="s">
        <v>20</v>
      </c>
      <c r="F71" t="s">
        <v>16</v>
      </c>
      <c r="G71">
        <v>66</v>
      </c>
      <c r="H71" s="3">
        <v>927</v>
      </c>
      <c r="I71" s="3">
        <v>1876</v>
      </c>
      <c r="J71" s="3">
        <v>61182</v>
      </c>
      <c r="K71" s="3">
        <v>123816</v>
      </c>
      <c r="L71" s="3">
        <v>62634</v>
      </c>
    </row>
    <row r="72" spans="1:12" x14ac:dyDescent="0.3">
      <c r="A72" s="2">
        <v>45453</v>
      </c>
      <c r="B72" t="s">
        <v>54</v>
      </c>
      <c r="C72" t="s">
        <v>45</v>
      </c>
      <c r="D72" t="s">
        <v>53</v>
      </c>
      <c r="E72" t="s">
        <v>71</v>
      </c>
      <c r="F72" t="s">
        <v>24</v>
      </c>
      <c r="G72">
        <v>70</v>
      </c>
      <c r="H72" s="3">
        <v>760</v>
      </c>
      <c r="I72" s="3">
        <v>1137</v>
      </c>
      <c r="J72" s="3">
        <v>53200</v>
      </c>
      <c r="K72" s="3">
        <v>79590</v>
      </c>
      <c r="L72" s="3">
        <v>26390</v>
      </c>
    </row>
    <row r="73" spans="1:12" x14ac:dyDescent="0.3">
      <c r="A73" s="2">
        <v>45454</v>
      </c>
      <c r="B73" t="s">
        <v>21</v>
      </c>
      <c r="C73" t="s">
        <v>37</v>
      </c>
      <c r="D73" t="s">
        <v>42</v>
      </c>
      <c r="E73" t="s">
        <v>71</v>
      </c>
      <c r="F73" t="s">
        <v>24</v>
      </c>
      <c r="G73">
        <v>45</v>
      </c>
      <c r="H73" s="3">
        <v>750</v>
      </c>
      <c r="I73" s="3">
        <v>992</v>
      </c>
      <c r="J73" s="3">
        <v>33750</v>
      </c>
      <c r="K73" s="3">
        <v>44640</v>
      </c>
      <c r="L73" s="3">
        <v>10890</v>
      </c>
    </row>
    <row r="74" spans="1:12" x14ac:dyDescent="0.3">
      <c r="A74" s="2">
        <v>45455</v>
      </c>
      <c r="B74" t="s">
        <v>58</v>
      </c>
      <c r="C74" t="s">
        <v>29</v>
      </c>
      <c r="D74" t="s">
        <v>30</v>
      </c>
      <c r="E74" t="s">
        <v>39</v>
      </c>
      <c r="F74" t="s">
        <v>16</v>
      </c>
      <c r="G74">
        <v>79</v>
      </c>
      <c r="H74" s="3">
        <v>382</v>
      </c>
      <c r="I74" s="3">
        <v>527</v>
      </c>
      <c r="J74" s="3">
        <v>30178</v>
      </c>
      <c r="K74" s="3">
        <v>41633</v>
      </c>
      <c r="L74" s="3">
        <v>11455</v>
      </c>
    </row>
    <row r="75" spans="1:12" x14ac:dyDescent="0.3">
      <c r="A75" s="2">
        <v>45456</v>
      </c>
      <c r="B75" t="s">
        <v>21</v>
      </c>
      <c r="C75" t="s">
        <v>45</v>
      </c>
      <c r="D75" t="s">
        <v>62</v>
      </c>
      <c r="E75" t="s">
        <v>15</v>
      </c>
      <c r="F75" t="s">
        <v>24</v>
      </c>
      <c r="G75">
        <v>18</v>
      </c>
      <c r="H75" s="3">
        <v>724</v>
      </c>
      <c r="I75" s="3">
        <v>1185</v>
      </c>
      <c r="J75" s="3">
        <v>13032</v>
      </c>
      <c r="K75" s="3">
        <v>21330</v>
      </c>
      <c r="L75" s="3">
        <v>8298</v>
      </c>
    </row>
    <row r="76" spans="1:12" x14ac:dyDescent="0.3">
      <c r="A76" s="2">
        <v>45457</v>
      </c>
      <c r="B76" t="s">
        <v>50</v>
      </c>
      <c r="C76" t="s">
        <v>45</v>
      </c>
      <c r="D76" t="s">
        <v>48</v>
      </c>
      <c r="E76" t="s">
        <v>23</v>
      </c>
      <c r="F76" t="s">
        <v>24</v>
      </c>
      <c r="G76">
        <v>63</v>
      </c>
      <c r="H76" s="3">
        <v>698</v>
      </c>
      <c r="I76" s="3">
        <v>1472</v>
      </c>
      <c r="J76" s="3">
        <v>43974</v>
      </c>
      <c r="K76" s="3">
        <v>92736</v>
      </c>
      <c r="L76" s="3">
        <v>48762</v>
      </c>
    </row>
    <row r="77" spans="1:12" x14ac:dyDescent="0.3">
      <c r="A77" s="2">
        <v>45458</v>
      </c>
      <c r="B77" t="s">
        <v>79</v>
      </c>
      <c r="C77" t="s">
        <v>13</v>
      </c>
      <c r="D77" t="s">
        <v>34</v>
      </c>
      <c r="E77" t="s">
        <v>51</v>
      </c>
      <c r="F77" t="s">
        <v>16</v>
      </c>
      <c r="G77">
        <v>10</v>
      </c>
      <c r="H77" s="3">
        <v>660</v>
      </c>
      <c r="I77" s="3">
        <v>1012</v>
      </c>
      <c r="J77" s="3">
        <v>6600</v>
      </c>
      <c r="K77" s="3">
        <v>10120</v>
      </c>
      <c r="L77" s="3">
        <v>3520</v>
      </c>
    </row>
    <row r="78" spans="1:12" x14ac:dyDescent="0.3">
      <c r="A78" s="2">
        <v>45459</v>
      </c>
      <c r="B78" t="s">
        <v>33</v>
      </c>
      <c r="C78" t="s">
        <v>45</v>
      </c>
      <c r="D78" t="s">
        <v>53</v>
      </c>
      <c r="E78" t="s">
        <v>15</v>
      </c>
      <c r="F78" t="s">
        <v>24</v>
      </c>
      <c r="G78">
        <v>72</v>
      </c>
      <c r="H78" s="3">
        <v>524</v>
      </c>
      <c r="I78" s="3">
        <v>790</v>
      </c>
      <c r="J78" s="3">
        <v>37728</v>
      </c>
      <c r="K78" s="3">
        <v>56880</v>
      </c>
      <c r="L78" s="3">
        <v>19152</v>
      </c>
    </row>
    <row r="79" spans="1:12" x14ac:dyDescent="0.3">
      <c r="A79" s="2">
        <v>45460</v>
      </c>
      <c r="B79" t="s">
        <v>47</v>
      </c>
      <c r="C79" t="s">
        <v>13</v>
      </c>
      <c r="D79" t="s">
        <v>80</v>
      </c>
      <c r="E79" t="s">
        <v>39</v>
      </c>
      <c r="F79" t="s">
        <v>16</v>
      </c>
      <c r="G79">
        <v>31</v>
      </c>
      <c r="H79" s="3">
        <v>778</v>
      </c>
      <c r="I79" s="3">
        <v>1652</v>
      </c>
      <c r="J79" s="3">
        <v>24118</v>
      </c>
      <c r="K79" s="3">
        <v>51212</v>
      </c>
      <c r="L79" s="3">
        <v>27094</v>
      </c>
    </row>
    <row r="80" spans="1:12" x14ac:dyDescent="0.3">
      <c r="A80" s="2">
        <v>45461</v>
      </c>
      <c r="B80" t="s">
        <v>61</v>
      </c>
      <c r="C80" t="s">
        <v>18</v>
      </c>
      <c r="D80" t="s">
        <v>19</v>
      </c>
      <c r="E80" t="s">
        <v>63</v>
      </c>
      <c r="F80" t="s">
        <v>16</v>
      </c>
      <c r="G80">
        <v>85</v>
      </c>
      <c r="H80" s="3">
        <v>877</v>
      </c>
      <c r="I80" s="3">
        <v>1648</v>
      </c>
      <c r="J80" s="3">
        <v>74545</v>
      </c>
      <c r="K80" s="3">
        <v>140080</v>
      </c>
      <c r="L80" s="3">
        <v>65535</v>
      </c>
    </row>
    <row r="81" spans="1:12" x14ac:dyDescent="0.3">
      <c r="A81" s="2">
        <v>45462</v>
      </c>
      <c r="B81" t="s">
        <v>75</v>
      </c>
      <c r="C81" t="s">
        <v>45</v>
      </c>
      <c r="D81" t="s">
        <v>62</v>
      </c>
      <c r="E81" t="s">
        <v>55</v>
      </c>
      <c r="F81" t="s">
        <v>16</v>
      </c>
      <c r="G81">
        <v>33</v>
      </c>
      <c r="H81" s="3">
        <v>351</v>
      </c>
      <c r="I81" s="3">
        <v>525</v>
      </c>
      <c r="J81" s="3">
        <v>11583</v>
      </c>
      <c r="K81" s="3">
        <v>17325</v>
      </c>
      <c r="L81" s="3">
        <v>5742</v>
      </c>
    </row>
    <row r="82" spans="1:12" x14ac:dyDescent="0.3">
      <c r="A82" s="2">
        <v>45463</v>
      </c>
      <c r="B82" t="s">
        <v>44</v>
      </c>
      <c r="C82" t="s">
        <v>29</v>
      </c>
      <c r="D82" t="s">
        <v>74</v>
      </c>
      <c r="E82" t="s">
        <v>39</v>
      </c>
      <c r="F82" t="s">
        <v>16</v>
      </c>
      <c r="G82">
        <v>58</v>
      </c>
      <c r="H82" s="3">
        <v>584</v>
      </c>
      <c r="I82" s="3">
        <v>1147</v>
      </c>
      <c r="J82" s="3">
        <v>33872</v>
      </c>
      <c r="K82" s="3">
        <v>66526</v>
      </c>
      <c r="L82" s="3">
        <v>32654</v>
      </c>
    </row>
    <row r="83" spans="1:12" x14ac:dyDescent="0.3">
      <c r="A83" s="2">
        <v>45464</v>
      </c>
      <c r="B83" t="s">
        <v>69</v>
      </c>
      <c r="C83" t="s">
        <v>37</v>
      </c>
      <c r="D83" t="s">
        <v>81</v>
      </c>
      <c r="E83" t="s">
        <v>71</v>
      </c>
      <c r="F83" t="s">
        <v>24</v>
      </c>
      <c r="G83">
        <v>79</v>
      </c>
      <c r="H83" s="3">
        <v>353</v>
      </c>
      <c r="I83" s="3">
        <v>776</v>
      </c>
      <c r="J83" s="3">
        <v>27887</v>
      </c>
      <c r="K83" s="3">
        <v>61304</v>
      </c>
      <c r="L83" s="3">
        <v>33417</v>
      </c>
    </row>
    <row r="84" spans="1:12" x14ac:dyDescent="0.3">
      <c r="A84" s="2">
        <v>45465</v>
      </c>
      <c r="B84" t="s">
        <v>32</v>
      </c>
      <c r="C84" t="s">
        <v>29</v>
      </c>
      <c r="D84" t="s">
        <v>59</v>
      </c>
      <c r="E84" t="s">
        <v>27</v>
      </c>
      <c r="F84" t="s">
        <v>24</v>
      </c>
      <c r="G84">
        <v>13</v>
      </c>
      <c r="H84" s="3">
        <v>553</v>
      </c>
      <c r="I84" s="3">
        <v>795</v>
      </c>
      <c r="J84" s="3">
        <v>7189</v>
      </c>
      <c r="K84" s="3">
        <v>10335</v>
      </c>
      <c r="L84" s="3">
        <v>3146</v>
      </c>
    </row>
    <row r="85" spans="1:12" x14ac:dyDescent="0.3">
      <c r="A85" s="2">
        <v>45466</v>
      </c>
      <c r="B85" t="s">
        <v>72</v>
      </c>
      <c r="C85" t="s">
        <v>18</v>
      </c>
      <c r="D85" t="s">
        <v>73</v>
      </c>
      <c r="E85" t="s">
        <v>43</v>
      </c>
      <c r="F85" t="s">
        <v>24</v>
      </c>
      <c r="G85">
        <v>70</v>
      </c>
      <c r="H85" s="3">
        <v>985</v>
      </c>
      <c r="I85" s="3">
        <v>1338</v>
      </c>
      <c r="J85" s="3">
        <v>68950</v>
      </c>
      <c r="K85" s="3">
        <v>93660</v>
      </c>
      <c r="L85" s="3">
        <v>24710</v>
      </c>
    </row>
    <row r="86" spans="1:12" x14ac:dyDescent="0.3">
      <c r="A86" s="2">
        <v>45467</v>
      </c>
      <c r="B86" t="s">
        <v>78</v>
      </c>
      <c r="C86" t="s">
        <v>45</v>
      </c>
      <c r="D86" t="s">
        <v>46</v>
      </c>
      <c r="E86" t="s">
        <v>27</v>
      </c>
      <c r="F86" t="s">
        <v>16</v>
      </c>
      <c r="G86">
        <v>31</v>
      </c>
      <c r="H86" s="3">
        <v>920</v>
      </c>
      <c r="I86" s="3">
        <v>1680</v>
      </c>
      <c r="J86" s="3">
        <v>28520</v>
      </c>
      <c r="K86" s="3">
        <v>52080</v>
      </c>
      <c r="L86" s="3">
        <v>23560</v>
      </c>
    </row>
    <row r="87" spans="1:12" x14ac:dyDescent="0.3">
      <c r="A87" s="2">
        <v>45468</v>
      </c>
      <c r="B87" t="s">
        <v>57</v>
      </c>
      <c r="C87" t="s">
        <v>13</v>
      </c>
      <c r="D87" t="s">
        <v>67</v>
      </c>
      <c r="E87" t="s">
        <v>35</v>
      </c>
      <c r="F87" t="s">
        <v>24</v>
      </c>
      <c r="G87">
        <v>84</v>
      </c>
      <c r="H87" s="3">
        <v>326</v>
      </c>
      <c r="I87" s="3">
        <v>695</v>
      </c>
      <c r="J87" s="3">
        <v>27384</v>
      </c>
      <c r="K87" s="3">
        <v>58380</v>
      </c>
      <c r="L87" s="3">
        <v>30996</v>
      </c>
    </row>
    <row r="88" spans="1:12" x14ac:dyDescent="0.3">
      <c r="A88" s="2">
        <v>45469</v>
      </c>
      <c r="B88" t="s">
        <v>79</v>
      </c>
      <c r="C88" t="s">
        <v>45</v>
      </c>
      <c r="D88" t="s">
        <v>48</v>
      </c>
      <c r="E88" t="s">
        <v>15</v>
      </c>
      <c r="F88" t="s">
        <v>24</v>
      </c>
      <c r="G88">
        <v>19</v>
      </c>
      <c r="H88" s="3">
        <v>906</v>
      </c>
      <c r="I88" s="3">
        <v>1726</v>
      </c>
      <c r="J88" s="3">
        <v>17214</v>
      </c>
      <c r="K88" s="3">
        <v>32794</v>
      </c>
      <c r="L88" s="3">
        <v>15580</v>
      </c>
    </row>
    <row r="89" spans="1:12" x14ac:dyDescent="0.3">
      <c r="A89" s="2">
        <v>45470</v>
      </c>
      <c r="B89" t="s">
        <v>12</v>
      </c>
      <c r="C89" t="s">
        <v>29</v>
      </c>
      <c r="D89" t="s">
        <v>59</v>
      </c>
      <c r="E89" t="s">
        <v>15</v>
      </c>
      <c r="F89" t="s">
        <v>16</v>
      </c>
      <c r="G89">
        <v>97</v>
      </c>
      <c r="H89" s="3">
        <v>914</v>
      </c>
      <c r="I89" s="3">
        <v>1841</v>
      </c>
      <c r="J89" s="3">
        <v>88658</v>
      </c>
      <c r="K89" s="3">
        <v>178577</v>
      </c>
      <c r="L89" s="3">
        <v>89919</v>
      </c>
    </row>
    <row r="90" spans="1:12" x14ac:dyDescent="0.3">
      <c r="A90" s="2">
        <v>45471</v>
      </c>
      <c r="B90" t="s">
        <v>79</v>
      </c>
      <c r="C90" t="s">
        <v>13</v>
      </c>
      <c r="D90" t="s">
        <v>77</v>
      </c>
      <c r="E90" t="s">
        <v>65</v>
      </c>
      <c r="F90" t="s">
        <v>16</v>
      </c>
      <c r="G90">
        <v>94</v>
      </c>
      <c r="H90" s="3">
        <v>679</v>
      </c>
      <c r="I90" s="3">
        <v>893</v>
      </c>
      <c r="J90" s="3">
        <v>63826</v>
      </c>
      <c r="K90" s="3">
        <v>83942</v>
      </c>
      <c r="L90" s="3">
        <v>20116</v>
      </c>
    </row>
    <row r="91" spans="1:12" x14ac:dyDescent="0.3">
      <c r="A91" s="2">
        <v>45472</v>
      </c>
      <c r="B91" t="s">
        <v>12</v>
      </c>
      <c r="C91" t="s">
        <v>37</v>
      </c>
      <c r="D91" t="s">
        <v>81</v>
      </c>
      <c r="E91" t="s">
        <v>55</v>
      </c>
      <c r="F91" t="s">
        <v>16</v>
      </c>
      <c r="G91">
        <v>72</v>
      </c>
      <c r="H91" s="3">
        <v>408</v>
      </c>
      <c r="I91" s="3">
        <v>678</v>
      </c>
      <c r="J91" s="3">
        <v>29376</v>
      </c>
      <c r="K91" s="3">
        <v>48816</v>
      </c>
      <c r="L91" s="3">
        <v>19440</v>
      </c>
    </row>
    <row r="92" spans="1:12" x14ac:dyDescent="0.3">
      <c r="A92" s="2">
        <v>45383</v>
      </c>
      <c r="B92" t="s">
        <v>32</v>
      </c>
      <c r="C92" t="s">
        <v>45</v>
      </c>
      <c r="D92" t="s">
        <v>62</v>
      </c>
      <c r="E92" t="s">
        <v>51</v>
      </c>
      <c r="F92" t="s">
        <v>24</v>
      </c>
      <c r="G92">
        <v>76</v>
      </c>
      <c r="H92" s="3">
        <v>966</v>
      </c>
      <c r="I92" s="3">
        <v>1455</v>
      </c>
      <c r="J92" s="3">
        <v>73416</v>
      </c>
      <c r="K92" s="3">
        <v>110580</v>
      </c>
      <c r="L92" s="3">
        <v>37164</v>
      </c>
    </row>
    <row r="93" spans="1:12" x14ac:dyDescent="0.3">
      <c r="A93" s="2">
        <v>45384</v>
      </c>
      <c r="B93" t="s">
        <v>50</v>
      </c>
      <c r="C93" t="s">
        <v>45</v>
      </c>
      <c r="D93" t="s">
        <v>48</v>
      </c>
      <c r="E93" t="s">
        <v>51</v>
      </c>
      <c r="F93" t="s">
        <v>16</v>
      </c>
      <c r="G93">
        <v>51</v>
      </c>
      <c r="H93" s="3">
        <v>551</v>
      </c>
      <c r="I93" s="3">
        <v>1123</v>
      </c>
      <c r="J93" s="3">
        <v>28101</v>
      </c>
      <c r="K93" s="3">
        <v>57273</v>
      </c>
      <c r="L93" s="3">
        <v>29172</v>
      </c>
    </row>
    <row r="94" spans="1:12" x14ac:dyDescent="0.3">
      <c r="A94" s="2">
        <v>45385</v>
      </c>
      <c r="B94" t="s">
        <v>75</v>
      </c>
      <c r="C94" t="s">
        <v>37</v>
      </c>
      <c r="D94" t="s">
        <v>64</v>
      </c>
      <c r="E94" t="s">
        <v>43</v>
      </c>
      <c r="F94" t="s">
        <v>16</v>
      </c>
      <c r="G94">
        <v>82</v>
      </c>
      <c r="H94" s="3">
        <v>924</v>
      </c>
      <c r="I94" s="3">
        <v>1741</v>
      </c>
      <c r="J94" s="3">
        <v>75768</v>
      </c>
      <c r="K94" s="3">
        <v>142762</v>
      </c>
      <c r="L94" s="3">
        <v>66994</v>
      </c>
    </row>
    <row r="95" spans="1:12" x14ac:dyDescent="0.3">
      <c r="A95" s="2">
        <v>45386</v>
      </c>
      <c r="B95" t="s">
        <v>44</v>
      </c>
      <c r="C95" t="s">
        <v>13</v>
      </c>
      <c r="D95" t="s">
        <v>80</v>
      </c>
      <c r="E95" t="s">
        <v>55</v>
      </c>
      <c r="F95" t="s">
        <v>16</v>
      </c>
      <c r="G95">
        <v>33</v>
      </c>
      <c r="H95" s="3">
        <v>799</v>
      </c>
      <c r="I95" s="3">
        <v>1159</v>
      </c>
      <c r="J95" s="3">
        <v>26367</v>
      </c>
      <c r="K95" s="3">
        <v>38247</v>
      </c>
      <c r="L95" s="3">
        <v>11880</v>
      </c>
    </row>
    <row r="96" spans="1:12" x14ac:dyDescent="0.3">
      <c r="A96" s="2">
        <v>45387</v>
      </c>
      <c r="B96" t="s">
        <v>68</v>
      </c>
      <c r="C96" t="s">
        <v>37</v>
      </c>
      <c r="D96" t="s">
        <v>56</v>
      </c>
      <c r="E96" t="s">
        <v>63</v>
      </c>
      <c r="F96" t="s">
        <v>16</v>
      </c>
      <c r="G96">
        <v>81</v>
      </c>
      <c r="H96" s="3">
        <v>310</v>
      </c>
      <c r="I96" s="3">
        <v>539</v>
      </c>
      <c r="J96" s="3">
        <v>25110</v>
      </c>
      <c r="K96" s="3">
        <v>43659</v>
      </c>
      <c r="L96" s="3">
        <v>18549</v>
      </c>
    </row>
    <row r="97" spans="1:12" x14ac:dyDescent="0.3">
      <c r="A97" s="2">
        <v>45388</v>
      </c>
      <c r="B97" t="s">
        <v>78</v>
      </c>
      <c r="C97" t="s">
        <v>13</v>
      </c>
      <c r="D97" t="s">
        <v>67</v>
      </c>
      <c r="E97" t="s">
        <v>15</v>
      </c>
      <c r="F97" t="s">
        <v>16</v>
      </c>
      <c r="G97">
        <v>72</v>
      </c>
      <c r="H97" s="3">
        <v>868</v>
      </c>
      <c r="I97" s="3">
        <v>1710</v>
      </c>
      <c r="J97" s="3">
        <v>62496</v>
      </c>
      <c r="K97" s="3">
        <v>123120</v>
      </c>
      <c r="L97" s="3">
        <v>60624</v>
      </c>
    </row>
    <row r="98" spans="1:12" x14ac:dyDescent="0.3">
      <c r="A98" s="2">
        <v>45389</v>
      </c>
      <c r="B98" t="s">
        <v>66</v>
      </c>
      <c r="C98" t="s">
        <v>45</v>
      </c>
      <c r="D98" t="s">
        <v>48</v>
      </c>
      <c r="E98" t="s">
        <v>71</v>
      </c>
      <c r="F98" t="s">
        <v>24</v>
      </c>
      <c r="G98">
        <v>21</v>
      </c>
      <c r="H98" s="3">
        <v>601</v>
      </c>
      <c r="I98" s="3">
        <v>877</v>
      </c>
      <c r="J98" s="3">
        <v>12621</v>
      </c>
      <c r="K98" s="3">
        <v>18417</v>
      </c>
      <c r="L98" s="3">
        <v>5796</v>
      </c>
    </row>
    <row r="99" spans="1:12" x14ac:dyDescent="0.3">
      <c r="A99" s="2">
        <v>45390</v>
      </c>
      <c r="B99" t="s">
        <v>66</v>
      </c>
      <c r="C99" t="s">
        <v>29</v>
      </c>
      <c r="D99" t="s">
        <v>30</v>
      </c>
      <c r="E99" t="s">
        <v>41</v>
      </c>
      <c r="F99" t="s">
        <v>16</v>
      </c>
      <c r="G99">
        <v>70</v>
      </c>
      <c r="H99" s="3">
        <v>866</v>
      </c>
      <c r="I99" s="3">
        <v>1519</v>
      </c>
      <c r="J99" s="3">
        <v>60620</v>
      </c>
      <c r="K99" s="3">
        <v>106330</v>
      </c>
      <c r="L99" s="3">
        <v>45710</v>
      </c>
    </row>
    <row r="100" spans="1:12" x14ac:dyDescent="0.3">
      <c r="A100" s="2">
        <v>45391</v>
      </c>
      <c r="B100" t="s">
        <v>69</v>
      </c>
      <c r="C100" t="s">
        <v>18</v>
      </c>
      <c r="D100" t="s">
        <v>26</v>
      </c>
      <c r="E100" t="s">
        <v>39</v>
      </c>
      <c r="F100" t="s">
        <v>16</v>
      </c>
      <c r="G100">
        <v>44</v>
      </c>
      <c r="H100" s="3">
        <v>613</v>
      </c>
      <c r="I100" s="3">
        <v>912</v>
      </c>
      <c r="J100" s="3">
        <v>26972</v>
      </c>
      <c r="K100" s="3">
        <v>40128</v>
      </c>
      <c r="L100" s="3">
        <v>13156</v>
      </c>
    </row>
    <row r="101" spans="1:12" x14ac:dyDescent="0.3">
      <c r="A101" s="2">
        <v>45392</v>
      </c>
      <c r="B101" t="s">
        <v>17</v>
      </c>
      <c r="C101" t="s">
        <v>29</v>
      </c>
      <c r="D101" t="s">
        <v>30</v>
      </c>
      <c r="E101" t="s">
        <v>31</v>
      </c>
      <c r="F101" t="s">
        <v>24</v>
      </c>
      <c r="G101">
        <v>34</v>
      </c>
      <c r="H101" s="3">
        <v>521</v>
      </c>
      <c r="I101" s="3">
        <v>1016</v>
      </c>
      <c r="J101" s="3">
        <v>17714</v>
      </c>
      <c r="K101" s="3">
        <v>34544</v>
      </c>
      <c r="L101" s="3">
        <v>16830</v>
      </c>
    </row>
    <row r="102" spans="1:12" x14ac:dyDescent="0.3">
      <c r="A102" s="2">
        <v>45393</v>
      </c>
      <c r="B102" t="s">
        <v>68</v>
      </c>
      <c r="C102" t="s">
        <v>18</v>
      </c>
      <c r="D102" t="s">
        <v>22</v>
      </c>
      <c r="E102" t="s">
        <v>20</v>
      </c>
      <c r="F102" t="s">
        <v>16</v>
      </c>
      <c r="G102">
        <v>22</v>
      </c>
      <c r="H102" s="3">
        <v>498</v>
      </c>
      <c r="I102" s="3">
        <v>762</v>
      </c>
      <c r="J102" s="3">
        <v>10956</v>
      </c>
      <c r="K102" s="3">
        <v>16764</v>
      </c>
      <c r="L102" s="3">
        <v>5808</v>
      </c>
    </row>
    <row r="103" spans="1:12" x14ac:dyDescent="0.3">
      <c r="A103" s="2">
        <v>45394</v>
      </c>
      <c r="B103" t="s">
        <v>32</v>
      </c>
      <c r="C103" t="s">
        <v>29</v>
      </c>
      <c r="D103" t="s">
        <v>30</v>
      </c>
      <c r="E103" t="s">
        <v>23</v>
      </c>
      <c r="F103" t="s">
        <v>24</v>
      </c>
      <c r="G103">
        <v>45</v>
      </c>
      <c r="H103" s="3">
        <v>346</v>
      </c>
      <c r="I103" s="3">
        <v>752</v>
      </c>
      <c r="J103" s="3">
        <v>15570</v>
      </c>
      <c r="K103" s="3">
        <v>33840</v>
      </c>
      <c r="L103" s="3">
        <v>18270</v>
      </c>
    </row>
    <row r="104" spans="1:12" x14ac:dyDescent="0.3">
      <c r="A104" s="2">
        <v>45395</v>
      </c>
      <c r="B104" t="s">
        <v>50</v>
      </c>
      <c r="C104" t="s">
        <v>37</v>
      </c>
      <c r="D104" t="s">
        <v>38</v>
      </c>
      <c r="E104" t="s">
        <v>41</v>
      </c>
      <c r="F104" t="s">
        <v>16</v>
      </c>
      <c r="G104">
        <v>23</v>
      </c>
      <c r="H104" s="3">
        <v>312</v>
      </c>
      <c r="I104" s="3">
        <v>560</v>
      </c>
      <c r="J104" s="3">
        <v>7176</v>
      </c>
      <c r="K104" s="3">
        <v>12880</v>
      </c>
      <c r="L104" s="3">
        <v>5704</v>
      </c>
    </row>
    <row r="105" spans="1:12" x14ac:dyDescent="0.3">
      <c r="A105" s="2">
        <v>45396</v>
      </c>
      <c r="B105" t="s">
        <v>47</v>
      </c>
      <c r="C105" t="s">
        <v>45</v>
      </c>
      <c r="D105" t="s">
        <v>48</v>
      </c>
      <c r="E105" t="s">
        <v>39</v>
      </c>
      <c r="F105" t="s">
        <v>24</v>
      </c>
      <c r="G105">
        <v>16</v>
      </c>
      <c r="H105" s="3">
        <v>558</v>
      </c>
      <c r="I105" s="3">
        <v>1196</v>
      </c>
      <c r="J105" s="3">
        <v>8928</v>
      </c>
      <c r="K105" s="3">
        <v>19136</v>
      </c>
      <c r="L105" s="3">
        <v>10208</v>
      </c>
    </row>
    <row r="106" spans="1:12" x14ac:dyDescent="0.3">
      <c r="A106" s="2">
        <v>45397</v>
      </c>
      <c r="B106" t="s">
        <v>47</v>
      </c>
      <c r="C106" t="s">
        <v>13</v>
      </c>
      <c r="D106" t="s">
        <v>14</v>
      </c>
      <c r="E106" t="s">
        <v>51</v>
      </c>
      <c r="F106" t="s">
        <v>16</v>
      </c>
      <c r="G106">
        <v>19</v>
      </c>
      <c r="H106" s="3">
        <v>890</v>
      </c>
      <c r="I106" s="3">
        <v>1644</v>
      </c>
      <c r="J106" s="3">
        <v>16910</v>
      </c>
      <c r="K106" s="3">
        <v>31236</v>
      </c>
      <c r="L106" s="3">
        <v>14326</v>
      </c>
    </row>
    <row r="107" spans="1:12" x14ac:dyDescent="0.3">
      <c r="A107" s="2">
        <v>45398</v>
      </c>
      <c r="B107" t="s">
        <v>36</v>
      </c>
      <c r="C107" t="s">
        <v>29</v>
      </c>
      <c r="D107" t="s">
        <v>60</v>
      </c>
      <c r="E107" t="s">
        <v>27</v>
      </c>
      <c r="F107" t="s">
        <v>16</v>
      </c>
      <c r="G107">
        <v>20</v>
      </c>
      <c r="H107" s="3">
        <v>554</v>
      </c>
      <c r="I107" s="3">
        <v>754</v>
      </c>
      <c r="J107" s="3">
        <v>11080</v>
      </c>
      <c r="K107" s="3">
        <v>15080</v>
      </c>
      <c r="L107" s="3">
        <v>4000</v>
      </c>
    </row>
    <row r="108" spans="1:12" x14ac:dyDescent="0.3">
      <c r="A108" s="2">
        <v>45399</v>
      </c>
      <c r="B108" t="s">
        <v>69</v>
      </c>
      <c r="C108" t="s">
        <v>18</v>
      </c>
      <c r="D108" t="s">
        <v>22</v>
      </c>
      <c r="E108" t="s">
        <v>27</v>
      </c>
      <c r="F108" t="s">
        <v>24</v>
      </c>
      <c r="G108">
        <v>76</v>
      </c>
      <c r="H108" s="3">
        <v>689</v>
      </c>
      <c r="I108" s="3">
        <v>1156</v>
      </c>
      <c r="J108" s="3">
        <v>52364</v>
      </c>
      <c r="K108" s="3">
        <v>87856</v>
      </c>
      <c r="L108" s="3">
        <v>35492</v>
      </c>
    </row>
    <row r="109" spans="1:12" x14ac:dyDescent="0.3">
      <c r="A109" s="2">
        <v>45400</v>
      </c>
      <c r="B109" t="s">
        <v>25</v>
      </c>
      <c r="C109" t="s">
        <v>37</v>
      </c>
      <c r="D109" t="s">
        <v>42</v>
      </c>
      <c r="E109" t="s">
        <v>51</v>
      </c>
      <c r="F109" t="s">
        <v>16</v>
      </c>
      <c r="G109">
        <v>82</v>
      </c>
      <c r="H109" s="3">
        <v>935</v>
      </c>
      <c r="I109" s="3">
        <v>1222</v>
      </c>
      <c r="J109" s="3">
        <v>76670</v>
      </c>
      <c r="K109" s="3">
        <v>100204</v>
      </c>
      <c r="L109" s="3">
        <v>23534</v>
      </c>
    </row>
    <row r="110" spans="1:12" x14ac:dyDescent="0.3">
      <c r="A110" s="2">
        <v>45401</v>
      </c>
      <c r="B110" t="s">
        <v>57</v>
      </c>
      <c r="C110" t="s">
        <v>13</v>
      </c>
      <c r="D110" t="s">
        <v>67</v>
      </c>
      <c r="E110" t="s">
        <v>41</v>
      </c>
      <c r="F110" t="s">
        <v>24</v>
      </c>
      <c r="G110">
        <v>43</v>
      </c>
      <c r="H110" s="3">
        <v>976</v>
      </c>
      <c r="I110" s="3">
        <v>1295</v>
      </c>
      <c r="J110" s="3">
        <v>41968</v>
      </c>
      <c r="K110" s="3">
        <v>55685</v>
      </c>
      <c r="L110" s="3">
        <v>13717</v>
      </c>
    </row>
    <row r="111" spans="1:12" x14ac:dyDescent="0.3">
      <c r="A111" s="2">
        <v>45402</v>
      </c>
      <c r="B111" t="s">
        <v>21</v>
      </c>
      <c r="C111" t="s">
        <v>29</v>
      </c>
      <c r="D111" t="s">
        <v>76</v>
      </c>
      <c r="E111" t="s">
        <v>31</v>
      </c>
      <c r="F111" t="s">
        <v>24</v>
      </c>
      <c r="G111">
        <v>10</v>
      </c>
      <c r="H111" s="3">
        <v>718</v>
      </c>
      <c r="I111" s="3">
        <v>1204</v>
      </c>
      <c r="J111" s="3">
        <v>7180</v>
      </c>
      <c r="K111" s="3">
        <v>12040</v>
      </c>
      <c r="L111" s="3">
        <v>4860</v>
      </c>
    </row>
    <row r="112" spans="1:12" x14ac:dyDescent="0.3">
      <c r="A112" s="2">
        <v>45403</v>
      </c>
      <c r="B112" t="s">
        <v>61</v>
      </c>
      <c r="C112" t="s">
        <v>45</v>
      </c>
      <c r="D112" t="s">
        <v>46</v>
      </c>
      <c r="E112" t="s">
        <v>23</v>
      </c>
      <c r="F112" t="s">
        <v>24</v>
      </c>
      <c r="G112">
        <v>46</v>
      </c>
      <c r="H112" s="3">
        <v>589</v>
      </c>
      <c r="I112" s="3">
        <v>1129</v>
      </c>
      <c r="J112" s="3">
        <v>27094</v>
      </c>
      <c r="K112" s="3">
        <v>51934</v>
      </c>
      <c r="L112" s="3">
        <v>24840</v>
      </c>
    </row>
    <row r="113" spans="1:12" x14ac:dyDescent="0.3">
      <c r="A113" s="2">
        <v>45404</v>
      </c>
      <c r="B113" t="s">
        <v>25</v>
      </c>
      <c r="C113" t="s">
        <v>13</v>
      </c>
      <c r="D113" t="s">
        <v>67</v>
      </c>
      <c r="E113" t="s">
        <v>63</v>
      </c>
      <c r="F113" t="s">
        <v>16</v>
      </c>
      <c r="G113">
        <v>90</v>
      </c>
      <c r="H113" s="3">
        <v>903</v>
      </c>
      <c r="I113" s="3">
        <v>1695</v>
      </c>
      <c r="J113" s="3">
        <v>81270</v>
      </c>
      <c r="K113" s="3">
        <v>152550</v>
      </c>
      <c r="L113" s="3">
        <v>71280</v>
      </c>
    </row>
    <row r="114" spans="1:12" x14ac:dyDescent="0.3">
      <c r="A114" s="2">
        <v>45405</v>
      </c>
      <c r="B114" t="s">
        <v>78</v>
      </c>
      <c r="C114" t="s">
        <v>45</v>
      </c>
      <c r="D114" t="s">
        <v>70</v>
      </c>
      <c r="E114" t="s">
        <v>65</v>
      </c>
      <c r="F114" t="s">
        <v>24</v>
      </c>
      <c r="G114">
        <v>92</v>
      </c>
      <c r="H114" s="3">
        <v>452</v>
      </c>
      <c r="I114" s="3">
        <v>955</v>
      </c>
      <c r="J114" s="3">
        <v>41584</v>
      </c>
      <c r="K114" s="3">
        <v>87860</v>
      </c>
      <c r="L114" s="3">
        <v>46276</v>
      </c>
    </row>
    <row r="115" spans="1:12" x14ac:dyDescent="0.3">
      <c r="A115" s="2">
        <v>45406</v>
      </c>
      <c r="B115" t="s">
        <v>28</v>
      </c>
      <c r="C115" t="s">
        <v>13</v>
      </c>
      <c r="D115" t="s">
        <v>14</v>
      </c>
      <c r="E115" t="s">
        <v>49</v>
      </c>
      <c r="F115" t="s">
        <v>16</v>
      </c>
      <c r="G115">
        <v>86</v>
      </c>
      <c r="H115" s="3">
        <v>882</v>
      </c>
      <c r="I115" s="3">
        <v>1874</v>
      </c>
      <c r="J115" s="3">
        <v>75852</v>
      </c>
      <c r="K115" s="3">
        <v>161164</v>
      </c>
      <c r="L115" s="3">
        <v>85312</v>
      </c>
    </row>
    <row r="116" spans="1:12" x14ac:dyDescent="0.3">
      <c r="A116" s="2">
        <v>45407</v>
      </c>
      <c r="B116" t="s">
        <v>25</v>
      </c>
      <c r="C116" t="s">
        <v>13</v>
      </c>
      <c r="D116" t="s">
        <v>80</v>
      </c>
      <c r="E116" t="s">
        <v>15</v>
      </c>
      <c r="F116" t="s">
        <v>16</v>
      </c>
      <c r="G116">
        <v>99</v>
      </c>
      <c r="H116" s="3">
        <v>712</v>
      </c>
      <c r="I116" s="3">
        <v>1527</v>
      </c>
      <c r="J116" s="3">
        <v>70488</v>
      </c>
      <c r="K116" s="3">
        <v>151173</v>
      </c>
      <c r="L116" s="3">
        <v>80685</v>
      </c>
    </row>
    <row r="117" spans="1:12" x14ac:dyDescent="0.3">
      <c r="A117" s="2">
        <v>45408</v>
      </c>
      <c r="B117" t="s">
        <v>54</v>
      </c>
      <c r="C117" t="s">
        <v>18</v>
      </c>
      <c r="D117" t="s">
        <v>52</v>
      </c>
      <c r="E117" t="s">
        <v>71</v>
      </c>
      <c r="F117" t="s">
        <v>24</v>
      </c>
      <c r="G117">
        <v>86</v>
      </c>
      <c r="H117" s="3">
        <v>340</v>
      </c>
      <c r="I117" s="3">
        <v>712</v>
      </c>
      <c r="J117" s="3">
        <v>29240</v>
      </c>
      <c r="K117" s="3">
        <v>61232</v>
      </c>
      <c r="L117" s="3">
        <v>31992</v>
      </c>
    </row>
    <row r="118" spans="1:12" x14ac:dyDescent="0.3">
      <c r="A118" s="2">
        <v>45409</v>
      </c>
      <c r="B118" t="s">
        <v>57</v>
      </c>
      <c r="C118" t="s">
        <v>37</v>
      </c>
      <c r="D118" t="s">
        <v>42</v>
      </c>
      <c r="E118" t="s">
        <v>35</v>
      </c>
      <c r="F118" t="s">
        <v>24</v>
      </c>
      <c r="G118">
        <v>21</v>
      </c>
      <c r="H118" s="3">
        <v>534</v>
      </c>
      <c r="I118" s="3">
        <v>1155</v>
      </c>
      <c r="J118" s="3">
        <v>11214</v>
      </c>
      <c r="K118" s="3">
        <v>24255</v>
      </c>
      <c r="L118" s="3">
        <v>13041</v>
      </c>
    </row>
    <row r="119" spans="1:12" x14ac:dyDescent="0.3">
      <c r="A119" s="2">
        <v>45410</v>
      </c>
      <c r="B119" t="s">
        <v>79</v>
      </c>
      <c r="C119" t="s">
        <v>18</v>
      </c>
      <c r="D119" t="s">
        <v>19</v>
      </c>
      <c r="E119" t="s">
        <v>27</v>
      </c>
      <c r="F119" t="s">
        <v>16</v>
      </c>
      <c r="G119">
        <v>83</v>
      </c>
      <c r="H119" s="3">
        <v>341</v>
      </c>
      <c r="I119" s="3">
        <v>673</v>
      </c>
      <c r="J119" s="3">
        <v>28303</v>
      </c>
      <c r="K119" s="3">
        <v>55859</v>
      </c>
      <c r="L119" s="3">
        <v>27556</v>
      </c>
    </row>
    <row r="120" spans="1:12" x14ac:dyDescent="0.3">
      <c r="A120" s="2">
        <v>45411</v>
      </c>
      <c r="B120" t="s">
        <v>82</v>
      </c>
      <c r="C120" t="s">
        <v>45</v>
      </c>
      <c r="D120" t="s">
        <v>53</v>
      </c>
      <c r="E120" t="s">
        <v>41</v>
      </c>
      <c r="F120" t="s">
        <v>16</v>
      </c>
      <c r="G120">
        <v>45</v>
      </c>
      <c r="H120" s="3">
        <v>485</v>
      </c>
      <c r="I120" s="3">
        <v>1065</v>
      </c>
      <c r="J120" s="3">
        <v>21825</v>
      </c>
      <c r="K120" s="3">
        <v>47925</v>
      </c>
      <c r="L120" s="3">
        <v>26100</v>
      </c>
    </row>
    <row r="121" spans="1:12" x14ac:dyDescent="0.3">
      <c r="A121" s="2">
        <v>45412</v>
      </c>
      <c r="B121" t="s">
        <v>69</v>
      </c>
      <c r="C121" t="s">
        <v>45</v>
      </c>
      <c r="D121" t="s">
        <v>70</v>
      </c>
      <c r="E121" t="s">
        <v>71</v>
      </c>
      <c r="F121" t="s">
        <v>16</v>
      </c>
      <c r="G121">
        <v>62</v>
      </c>
      <c r="H121" s="3">
        <v>641</v>
      </c>
      <c r="I121" s="3">
        <v>996</v>
      </c>
      <c r="J121" s="3">
        <v>39742</v>
      </c>
      <c r="K121" s="3">
        <v>61752</v>
      </c>
      <c r="L121" s="3">
        <v>22010</v>
      </c>
    </row>
    <row r="122" spans="1:12" x14ac:dyDescent="0.3">
      <c r="A122" s="2">
        <v>45413</v>
      </c>
      <c r="B122" t="s">
        <v>17</v>
      </c>
      <c r="C122" t="s">
        <v>29</v>
      </c>
      <c r="D122" t="s">
        <v>30</v>
      </c>
      <c r="E122" t="s">
        <v>51</v>
      </c>
      <c r="F122" t="s">
        <v>16</v>
      </c>
      <c r="G122">
        <v>46</v>
      </c>
      <c r="H122" s="3">
        <v>978</v>
      </c>
      <c r="I122" s="3">
        <v>2100</v>
      </c>
      <c r="J122" s="3">
        <v>44988</v>
      </c>
      <c r="K122" s="3">
        <v>96600</v>
      </c>
      <c r="L122" s="3">
        <v>51612</v>
      </c>
    </row>
    <row r="123" spans="1:12" x14ac:dyDescent="0.3">
      <c r="A123" s="2">
        <v>45414</v>
      </c>
      <c r="B123" t="s">
        <v>50</v>
      </c>
      <c r="C123" t="s">
        <v>13</v>
      </c>
      <c r="D123" t="s">
        <v>80</v>
      </c>
      <c r="E123" t="s">
        <v>31</v>
      </c>
      <c r="F123" t="s">
        <v>16</v>
      </c>
      <c r="G123">
        <v>42</v>
      </c>
      <c r="H123" s="3">
        <v>631</v>
      </c>
      <c r="I123" s="3">
        <v>858</v>
      </c>
      <c r="J123" s="3">
        <v>26502</v>
      </c>
      <c r="K123" s="3">
        <v>36036</v>
      </c>
      <c r="L123" s="3">
        <v>9534</v>
      </c>
    </row>
    <row r="124" spans="1:12" x14ac:dyDescent="0.3">
      <c r="A124" s="2">
        <v>45415</v>
      </c>
      <c r="B124" t="s">
        <v>33</v>
      </c>
      <c r="C124" t="s">
        <v>18</v>
      </c>
      <c r="D124" t="s">
        <v>19</v>
      </c>
      <c r="E124" t="s">
        <v>41</v>
      </c>
      <c r="F124" t="s">
        <v>16</v>
      </c>
      <c r="G124">
        <v>62</v>
      </c>
      <c r="H124" s="3">
        <v>355</v>
      </c>
      <c r="I124" s="3">
        <v>507</v>
      </c>
      <c r="J124" s="3">
        <v>22010</v>
      </c>
      <c r="K124" s="3">
        <v>31434</v>
      </c>
      <c r="L124" s="3">
        <v>9424</v>
      </c>
    </row>
    <row r="125" spans="1:12" x14ac:dyDescent="0.3">
      <c r="A125" s="2">
        <v>45416</v>
      </c>
      <c r="B125" t="s">
        <v>32</v>
      </c>
      <c r="C125" t="s">
        <v>18</v>
      </c>
      <c r="D125" t="s">
        <v>52</v>
      </c>
      <c r="E125" t="s">
        <v>41</v>
      </c>
      <c r="F125" t="s">
        <v>16</v>
      </c>
      <c r="G125">
        <v>16</v>
      </c>
      <c r="H125" s="3">
        <v>508</v>
      </c>
      <c r="I125" s="3">
        <v>763</v>
      </c>
      <c r="J125" s="3">
        <v>8128</v>
      </c>
      <c r="K125" s="3">
        <v>12208</v>
      </c>
      <c r="L125" s="3">
        <v>4080</v>
      </c>
    </row>
    <row r="126" spans="1:12" x14ac:dyDescent="0.3">
      <c r="A126" s="2">
        <v>45417</v>
      </c>
      <c r="B126" t="s">
        <v>28</v>
      </c>
      <c r="C126" t="s">
        <v>37</v>
      </c>
      <c r="D126" t="s">
        <v>64</v>
      </c>
      <c r="E126" t="s">
        <v>63</v>
      </c>
      <c r="F126" t="s">
        <v>16</v>
      </c>
      <c r="G126">
        <v>25</v>
      </c>
      <c r="H126" s="3">
        <v>329</v>
      </c>
      <c r="I126" s="3">
        <v>715</v>
      </c>
      <c r="J126" s="3">
        <v>8225</v>
      </c>
      <c r="K126" s="3">
        <v>17875</v>
      </c>
      <c r="L126" s="3">
        <v>9650</v>
      </c>
    </row>
    <row r="127" spans="1:12" x14ac:dyDescent="0.3">
      <c r="A127" s="2">
        <v>45418</v>
      </c>
      <c r="B127" t="s">
        <v>61</v>
      </c>
      <c r="C127" t="s">
        <v>29</v>
      </c>
      <c r="D127" t="s">
        <v>60</v>
      </c>
      <c r="E127" t="s">
        <v>35</v>
      </c>
      <c r="F127" t="s">
        <v>24</v>
      </c>
      <c r="G127">
        <v>80</v>
      </c>
      <c r="H127" s="3">
        <v>717</v>
      </c>
      <c r="I127" s="3">
        <v>959</v>
      </c>
      <c r="J127" s="3">
        <v>57360</v>
      </c>
      <c r="K127" s="3">
        <v>76720</v>
      </c>
      <c r="L127" s="3">
        <v>19360</v>
      </c>
    </row>
    <row r="128" spans="1:12" x14ac:dyDescent="0.3">
      <c r="A128" s="2">
        <v>45419</v>
      </c>
      <c r="B128" t="s">
        <v>17</v>
      </c>
      <c r="C128" t="s">
        <v>45</v>
      </c>
      <c r="D128" t="s">
        <v>70</v>
      </c>
      <c r="E128" t="s">
        <v>41</v>
      </c>
      <c r="F128" t="s">
        <v>24</v>
      </c>
      <c r="G128">
        <v>73</v>
      </c>
      <c r="H128" s="3">
        <v>598</v>
      </c>
      <c r="I128" s="3">
        <v>1036</v>
      </c>
      <c r="J128" s="3">
        <v>43654</v>
      </c>
      <c r="K128" s="3">
        <v>75628</v>
      </c>
      <c r="L128" s="3">
        <v>31974</v>
      </c>
    </row>
    <row r="129" spans="1:12" x14ac:dyDescent="0.3">
      <c r="A129" s="2">
        <v>45420</v>
      </c>
      <c r="B129" t="s">
        <v>68</v>
      </c>
      <c r="C129" t="s">
        <v>45</v>
      </c>
      <c r="D129" t="s">
        <v>48</v>
      </c>
      <c r="E129" t="s">
        <v>71</v>
      </c>
      <c r="F129" t="s">
        <v>24</v>
      </c>
      <c r="G129">
        <v>68</v>
      </c>
      <c r="H129" s="3">
        <v>864</v>
      </c>
      <c r="I129" s="3">
        <v>1198</v>
      </c>
      <c r="J129" s="3">
        <v>58752</v>
      </c>
      <c r="K129" s="3">
        <v>81464</v>
      </c>
      <c r="L129" s="3">
        <v>22712</v>
      </c>
    </row>
    <row r="130" spans="1:12" x14ac:dyDescent="0.3">
      <c r="A130" s="2">
        <v>45421</v>
      </c>
      <c r="B130" t="s">
        <v>78</v>
      </c>
      <c r="C130" t="s">
        <v>18</v>
      </c>
      <c r="D130" t="s">
        <v>22</v>
      </c>
      <c r="E130" t="s">
        <v>15</v>
      </c>
      <c r="F130" t="s">
        <v>24</v>
      </c>
      <c r="G130">
        <v>18</v>
      </c>
      <c r="H130" s="3">
        <v>582</v>
      </c>
      <c r="I130" s="3">
        <v>1154</v>
      </c>
      <c r="J130" s="3">
        <v>10476</v>
      </c>
      <c r="K130" s="3">
        <v>20772</v>
      </c>
      <c r="L130" s="3">
        <v>10296</v>
      </c>
    </row>
    <row r="131" spans="1:12" x14ac:dyDescent="0.3">
      <c r="A131" s="2">
        <v>45422</v>
      </c>
      <c r="B131" t="s">
        <v>69</v>
      </c>
      <c r="C131" t="s">
        <v>37</v>
      </c>
      <c r="D131" t="s">
        <v>42</v>
      </c>
      <c r="E131" t="s">
        <v>35</v>
      </c>
      <c r="F131" t="s">
        <v>24</v>
      </c>
      <c r="G131">
        <v>46</v>
      </c>
      <c r="H131" s="3">
        <v>605</v>
      </c>
      <c r="I131" s="3">
        <v>1237</v>
      </c>
      <c r="J131" s="3">
        <v>27830</v>
      </c>
      <c r="K131" s="3">
        <v>56902</v>
      </c>
      <c r="L131" s="3">
        <v>29072</v>
      </c>
    </row>
    <row r="132" spans="1:12" x14ac:dyDescent="0.3">
      <c r="A132" s="2">
        <v>45423</v>
      </c>
      <c r="B132" t="s">
        <v>79</v>
      </c>
      <c r="C132" t="s">
        <v>45</v>
      </c>
      <c r="D132" t="s">
        <v>62</v>
      </c>
      <c r="E132" t="s">
        <v>71</v>
      </c>
      <c r="F132" t="s">
        <v>16</v>
      </c>
      <c r="G132">
        <v>54</v>
      </c>
      <c r="H132" s="3">
        <v>640</v>
      </c>
      <c r="I132" s="3">
        <v>1135</v>
      </c>
      <c r="J132" s="3">
        <v>34560</v>
      </c>
      <c r="K132" s="3">
        <v>61290</v>
      </c>
      <c r="L132" s="3">
        <v>26730</v>
      </c>
    </row>
    <row r="133" spans="1:12" x14ac:dyDescent="0.3">
      <c r="A133" s="2">
        <v>45424</v>
      </c>
      <c r="B133" t="s">
        <v>50</v>
      </c>
      <c r="C133" t="s">
        <v>45</v>
      </c>
      <c r="D133" t="s">
        <v>48</v>
      </c>
      <c r="E133" t="s">
        <v>63</v>
      </c>
      <c r="F133" t="s">
        <v>16</v>
      </c>
      <c r="G133">
        <v>34</v>
      </c>
      <c r="H133" s="3">
        <v>544</v>
      </c>
      <c r="I133" s="3">
        <v>975</v>
      </c>
      <c r="J133" s="3">
        <v>18496</v>
      </c>
      <c r="K133" s="3">
        <v>33150</v>
      </c>
      <c r="L133" s="3">
        <v>14654</v>
      </c>
    </row>
    <row r="134" spans="1:12" x14ac:dyDescent="0.3">
      <c r="A134" s="2">
        <v>45425</v>
      </c>
      <c r="B134" t="s">
        <v>21</v>
      </c>
      <c r="C134" t="s">
        <v>45</v>
      </c>
      <c r="D134" t="s">
        <v>70</v>
      </c>
      <c r="E134" t="s">
        <v>39</v>
      </c>
      <c r="F134" t="s">
        <v>16</v>
      </c>
      <c r="G134">
        <v>100</v>
      </c>
      <c r="H134" s="3">
        <v>690</v>
      </c>
      <c r="I134" s="3">
        <v>1115</v>
      </c>
      <c r="J134" s="3">
        <v>69000</v>
      </c>
      <c r="K134" s="3">
        <v>111500</v>
      </c>
      <c r="L134" s="3">
        <v>42500</v>
      </c>
    </row>
    <row r="135" spans="1:12" x14ac:dyDescent="0.3">
      <c r="A135" s="2">
        <v>45426</v>
      </c>
      <c r="B135" t="s">
        <v>40</v>
      </c>
      <c r="C135" t="s">
        <v>29</v>
      </c>
      <c r="D135" t="s">
        <v>74</v>
      </c>
      <c r="E135" t="s">
        <v>23</v>
      </c>
      <c r="F135" t="s">
        <v>24</v>
      </c>
      <c r="G135">
        <v>74</v>
      </c>
      <c r="H135" s="3">
        <v>904</v>
      </c>
      <c r="I135" s="3">
        <v>1415</v>
      </c>
      <c r="J135" s="3">
        <v>66896</v>
      </c>
      <c r="K135" s="3">
        <v>104710</v>
      </c>
      <c r="L135" s="3">
        <v>37814</v>
      </c>
    </row>
    <row r="136" spans="1:12" x14ac:dyDescent="0.3">
      <c r="A136" s="2">
        <v>45427</v>
      </c>
      <c r="B136" t="s">
        <v>17</v>
      </c>
      <c r="C136" t="s">
        <v>45</v>
      </c>
      <c r="D136" t="s">
        <v>70</v>
      </c>
      <c r="E136" t="s">
        <v>65</v>
      </c>
      <c r="F136" t="s">
        <v>16</v>
      </c>
      <c r="G136">
        <v>11</v>
      </c>
      <c r="H136" s="3">
        <v>447</v>
      </c>
      <c r="I136" s="3">
        <v>732</v>
      </c>
      <c r="J136" s="3">
        <v>4917</v>
      </c>
      <c r="K136" s="3">
        <v>8052</v>
      </c>
      <c r="L136" s="3">
        <v>3135</v>
      </c>
    </row>
    <row r="137" spans="1:12" x14ac:dyDescent="0.3">
      <c r="A137" s="2">
        <v>45428</v>
      </c>
      <c r="B137" t="s">
        <v>12</v>
      </c>
      <c r="C137" t="s">
        <v>29</v>
      </c>
      <c r="D137" t="s">
        <v>59</v>
      </c>
      <c r="E137" t="s">
        <v>71</v>
      </c>
      <c r="F137" t="s">
        <v>16</v>
      </c>
      <c r="G137">
        <v>53</v>
      </c>
      <c r="H137" s="3">
        <v>938</v>
      </c>
      <c r="I137" s="3">
        <v>1789</v>
      </c>
      <c r="J137" s="3">
        <v>49714</v>
      </c>
      <c r="K137" s="3">
        <v>94817</v>
      </c>
      <c r="L137" s="3">
        <v>45103</v>
      </c>
    </row>
    <row r="138" spans="1:12" x14ac:dyDescent="0.3">
      <c r="A138" s="2">
        <v>45429</v>
      </c>
      <c r="B138" t="s">
        <v>12</v>
      </c>
      <c r="C138" t="s">
        <v>13</v>
      </c>
      <c r="D138" t="s">
        <v>77</v>
      </c>
      <c r="E138" t="s">
        <v>55</v>
      </c>
      <c r="F138" t="s">
        <v>16</v>
      </c>
      <c r="G138">
        <v>50</v>
      </c>
      <c r="H138" s="3">
        <v>941</v>
      </c>
      <c r="I138" s="3">
        <v>1818</v>
      </c>
      <c r="J138" s="3">
        <v>47050</v>
      </c>
      <c r="K138" s="3">
        <v>90900</v>
      </c>
      <c r="L138" s="3">
        <v>43850</v>
      </c>
    </row>
    <row r="139" spans="1:12" x14ac:dyDescent="0.3">
      <c r="A139" s="2">
        <v>45430</v>
      </c>
      <c r="B139" t="s">
        <v>47</v>
      </c>
      <c r="C139" t="s">
        <v>18</v>
      </c>
      <c r="D139" t="s">
        <v>19</v>
      </c>
      <c r="E139" t="s">
        <v>20</v>
      </c>
      <c r="F139" t="s">
        <v>24</v>
      </c>
      <c r="G139">
        <v>40</v>
      </c>
      <c r="H139" s="3">
        <v>946</v>
      </c>
      <c r="I139" s="3">
        <v>1797</v>
      </c>
      <c r="J139" s="3">
        <v>37840</v>
      </c>
      <c r="K139" s="3">
        <v>71880</v>
      </c>
      <c r="L139" s="3">
        <v>34040</v>
      </c>
    </row>
    <row r="140" spans="1:12" x14ac:dyDescent="0.3">
      <c r="A140" s="2">
        <v>45431</v>
      </c>
      <c r="B140" t="s">
        <v>58</v>
      </c>
      <c r="C140" t="s">
        <v>29</v>
      </c>
      <c r="D140" t="s">
        <v>59</v>
      </c>
      <c r="E140" t="s">
        <v>51</v>
      </c>
      <c r="F140" t="s">
        <v>24</v>
      </c>
      <c r="G140">
        <v>91</v>
      </c>
      <c r="H140" s="3">
        <v>402</v>
      </c>
      <c r="I140" s="3">
        <v>671</v>
      </c>
      <c r="J140" s="3">
        <v>36582</v>
      </c>
      <c r="K140" s="3">
        <v>61061</v>
      </c>
      <c r="L140" s="3">
        <v>24479</v>
      </c>
    </row>
    <row r="141" spans="1:12" x14ac:dyDescent="0.3">
      <c r="A141" s="2">
        <v>45432</v>
      </c>
      <c r="B141" t="s">
        <v>66</v>
      </c>
      <c r="C141" t="s">
        <v>37</v>
      </c>
      <c r="D141" t="s">
        <v>81</v>
      </c>
      <c r="E141" t="s">
        <v>23</v>
      </c>
      <c r="F141" t="s">
        <v>16</v>
      </c>
      <c r="G141">
        <v>17</v>
      </c>
      <c r="H141" s="3">
        <v>600</v>
      </c>
      <c r="I141" s="3">
        <v>954</v>
      </c>
      <c r="J141" s="3">
        <v>10200</v>
      </c>
      <c r="K141" s="3">
        <v>16218</v>
      </c>
      <c r="L141" s="3">
        <v>6018</v>
      </c>
    </row>
    <row r="142" spans="1:12" x14ac:dyDescent="0.3">
      <c r="A142" s="2">
        <v>45433</v>
      </c>
      <c r="B142" t="s">
        <v>69</v>
      </c>
      <c r="C142" t="s">
        <v>29</v>
      </c>
      <c r="D142" t="s">
        <v>60</v>
      </c>
      <c r="E142" t="s">
        <v>65</v>
      </c>
      <c r="F142" t="s">
        <v>16</v>
      </c>
      <c r="G142">
        <v>82</v>
      </c>
      <c r="H142" s="3">
        <v>998</v>
      </c>
      <c r="I142" s="3">
        <v>1998</v>
      </c>
      <c r="J142" s="3">
        <v>81836</v>
      </c>
      <c r="K142" s="3">
        <v>163836</v>
      </c>
      <c r="L142" s="3">
        <v>82000</v>
      </c>
    </row>
    <row r="143" spans="1:12" x14ac:dyDescent="0.3">
      <c r="A143" s="2">
        <v>45434</v>
      </c>
      <c r="B143" t="s">
        <v>82</v>
      </c>
      <c r="C143" t="s">
        <v>29</v>
      </c>
      <c r="D143" t="s">
        <v>59</v>
      </c>
      <c r="E143" t="s">
        <v>20</v>
      </c>
      <c r="F143" t="s">
        <v>16</v>
      </c>
      <c r="G143">
        <v>89</v>
      </c>
      <c r="H143" s="3">
        <v>999</v>
      </c>
      <c r="I143" s="3">
        <v>1477</v>
      </c>
      <c r="J143" s="3">
        <v>88911</v>
      </c>
      <c r="K143" s="3">
        <v>131453</v>
      </c>
      <c r="L143" s="3">
        <v>42542</v>
      </c>
    </row>
    <row r="144" spans="1:12" x14ac:dyDescent="0.3">
      <c r="A144" s="2">
        <v>45435</v>
      </c>
      <c r="B144" t="s">
        <v>79</v>
      </c>
      <c r="C144" t="s">
        <v>29</v>
      </c>
      <c r="D144" t="s">
        <v>60</v>
      </c>
      <c r="E144" t="s">
        <v>71</v>
      </c>
      <c r="F144" t="s">
        <v>16</v>
      </c>
      <c r="G144">
        <v>68</v>
      </c>
      <c r="H144" s="3">
        <v>561</v>
      </c>
      <c r="I144" s="3">
        <v>1056</v>
      </c>
      <c r="J144" s="3">
        <v>38148</v>
      </c>
      <c r="K144" s="3">
        <v>71808</v>
      </c>
      <c r="L144" s="3">
        <v>33660</v>
      </c>
    </row>
    <row r="145" spans="1:12" x14ac:dyDescent="0.3">
      <c r="A145" s="2">
        <v>45436</v>
      </c>
      <c r="B145" t="s">
        <v>25</v>
      </c>
      <c r="C145" t="s">
        <v>37</v>
      </c>
      <c r="D145" t="s">
        <v>42</v>
      </c>
      <c r="E145" t="s">
        <v>49</v>
      </c>
      <c r="F145" t="s">
        <v>24</v>
      </c>
      <c r="G145">
        <v>66</v>
      </c>
      <c r="H145" s="3">
        <v>653</v>
      </c>
      <c r="I145" s="3">
        <v>1428</v>
      </c>
      <c r="J145" s="3">
        <v>43098</v>
      </c>
      <c r="K145" s="3">
        <v>94248</v>
      </c>
      <c r="L145" s="3">
        <v>51150</v>
      </c>
    </row>
    <row r="146" spans="1:12" x14ac:dyDescent="0.3">
      <c r="A146" s="2">
        <v>45437</v>
      </c>
      <c r="B146" t="s">
        <v>58</v>
      </c>
      <c r="C146" t="s">
        <v>45</v>
      </c>
      <c r="D146" t="s">
        <v>46</v>
      </c>
      <c r="E146" t="s">
        <v>71</v>
      </c>
      <c r="F146" t="s">
        <v>16</v>
      </c>
      <c r="G146">
        <v>35</v>
      </c>
      <c r="H146" s="3">
        <v>693</v>
      </c>
      <c r="I146" s="3">
        <v>1428</v>
      </c>
      <c r="J146" s="3">
        <v>24255</v>
      </c>
      <c r="K146" s="3">
        <v>49980</v>
      </c>
      <c r="L146" s="3">
        <v>25725</v>
      </c>
    </row>
    <row r="147" spans="1:12" x14ac:dyDescent="0.3">
      <c r="A147" s="2">
        <v>45438</v>
      </c>
      <c r="B147" t="s">
        <v>17</v>
      </c>
      <c r="C147" t="s">
        <v>29</v>
      </c>
      <c r="D147" t="s">
        <v>74</v>
      </c>
      <c r="E147" t="s">
        <v>20</v>
      </c>
      <c r="F147" t="s">
        <v>16</v>
      </c>
      <c r="G147">
        <v>83</v>
      </c>
      <c r="H147" s="3">
        <v>602</v>
      </c>
      <c r="I147" s="3">
        <v>1320</v>
      </c>
      <c r="J147" s="3">
        <v>49966</v>
      </c>
      <c r="K147" s="3">
        <v>109560</v>
      </c>
      <c r="L147" s="3">
        <v>59594</v>
      </c>
    </row>
    <row r="148" spans="1:12" x14ac:dyDescent="0.3">
      <c r="A148" s="2">
        <v>45439</v>
      </c>
      <c r="B148" t="s">
        <v>58</v>
      </c>
      <c r="C148" t="s">
        <v>13</v>
      </c>
      <c r="D148" t="s">
        <v>80</v>
      </c>
      <c r="E148" t="s">
        <v>35</v>
      </c>
      <c r="F148" t="s">
        <v>24</v>
      </c>
      <c r="G148">
        <v>82</v>
      </c>
      <c r="H148" s="3">
        <v>350</v>
      </c>
      <c r="I148" s="3">
        <v>740</v>
      </c>
      <c r="J148" s="3">
        <v>28700</v>
      </c>
      <c r="K148" s="3">
        <v>60680</v>
      </c>
      <c r="L148" s="3">
        <v>31980</v>
      </c>
    </row>
    <row r="149" spans="1:12" x14ac:dyDescent="0.3">
      <c r="A149" s="2">
        <v>45440</v>
      </c>
      <c r="B149" t="s">
        <v>57</v>
      </c>
      <c r="C149" t="s">
        <v>45</v>
      </c>
      <c r="D149" t="s">
        <v>46</v>
      </c>
      <c r="E149" t="s">
        <v>27</v>
      </c>
      <c r="F149" t="s">
        <v>24</v>
      </c>
      <c r="G149">
        <v>87</v>
      </c>
      <c r="H149" s="3">
        <v>660</v>
      </c>
      <c r="I149" s="3">
        <v>962</v>
      </c>
      <c r="J149" s="3">
        <v>57420</v>
      </c>
      <c r="K149" s="3">
        <v>83694</v>
      </c>
      <c r="L149" s="3">
        <v>26274</v>
      </c>
    </row>
    <row r="150" spans="1:12" x14ac:dyDescent="0.3">
      <c r="A150" s="2">
        <v>45441</v>
      </c>
      <c r="B150" t="s">
        <v>78</v>
      </c>
      <c r="C150" t="s">
        <v>18</v>
      </c>
      <c r="D150" t="s">
        <v>26</v>
      </c>
      <c r="E150" t="s">
        <v>41</v>
      </c>
      <c r="F150" t="s">
        <v>24</v>
      </c>
      <c r="G150">
        <v>90</v>
      </c>
      <c r="H150" s="3">
        <v>399</v>
      </c>
      <c r="I150" s="3">
        <v>841</v>
      </c>
      <c r="J150" s="3">
        <v>35910</v>
      </c>
      <c r="K150" s="3">
        <v>75690</v>
      </c>
      <c r="L150" s="3">
        <v>39780</v>
      </c>
    </row>
    <row r="151" spans="1:12" x14ac:dyDescent="0.3">
      <c r="A151" s="2">
        <v>45442</v>
      </c>
      <c r="B151" t="s">
        <v>12</v>
      </c>
      <c r="C151" t="s">
        <v>13</v>
      </c>
      <c r="D151" t="s">
        <v>77</v>
      </c>
      <c r="E151" t="s">
        <v>27</v>
      </c>
      <c r="F151" t="s">
        <v>16</v>
      </c>
      <c r="G151">
        <v>14</v>
      </c>
      <c r="H151" s="3">
        <v>893</v>
      </c>
      <c r="I151" s="3">
        <v>1425</v>
      </c>
      <c r="J151" s="3">
        <v>12502</v>
      </c>
      <c r="K151" s="3">
        <v>19950</v>
      </c>
      <c r="L151" s="3">
        <v>7448</v>
      </c>
    </row>
  </sheetData>
  <autoFilter ref="A1:L151" xr:uid="{00000000-0009-0000-00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heetViews>
  <sheetFormatPr defaultRowHeight="14.4" x14ac:dyDescent="0.3"/>
  <cols>
    <col min="1" max="1" width="28" customWidth="1"/>
    <col min="2" max="2" width="55" customWidth="1"/>
  </cols>
  <sheetData>
    <row r="1" spans="1:2" ht="21" x14ac:dyDescent="0.4">
      <c r="A1" s="4" t="s">
        <v>83</v>
      </c>
    </row>
    <row r="2" spans="1:2" x14ac:dyDescent="0.3">
      <c r="A2" t="s">
        <v>84</v>
      </c>
    </row>
    <row r="3" spans="1:2" x14ac:dyDescent="0.3">
      <c r="A3" t="s">
        <v>85</v>
      </c>
      <c r="B3" t="s">
        <v>86</v>
      </c>
    </row>
    <row r="4" spans="1:2" x14ac:dyDescent="0.3">
      <c r="A4" t="s">
        <v>87</v>
      </c>
      <c r="B4" t="s">
        <v>88</v>
      </c>
    </row>
    <row r="5" spans="1:2" x14ac:dyDescent="0.3">
      <c r="A5" t="s">
        <v>89</v>
      </c>
      <c r="B5" t="s">
        <v>90</v>
      </c>
    </row>
    <row r="6" spans="1:2" x14ac:dyDescent="0.3">
      <c r="A6" t="s">
        <v>91</v>
      </c>
      <c r="B6" t="s">
        <v>92</v>
      </c>
    </row>
    <row r="7" spans="1:2" x14ac:dyDescent="0.3">
      <c r="A7" t="s">
        <v>93</v>
      </c>
      <c r="B7" t="s">
        <v>94</v>
      </c>
    </row>
    <row r="8" spans="1:2" x14ac:dyDescent="0.3">
      <c r="A8" t="s">
        <v>95</v>
      </c>
      <c r="B8" t="s">
        <v>96</v>
      </c>
    </row>
    <row r="9" spans="1:2" x14ac:dyDescent="0.3">
      <c r="A9" t="s">
        <v>97</v>
      </c>
      <c r="B9" t="s">
        <v>98</v>
      </c>
    </row>
    <row r="10" spans="1:2" x14ac:dyDescent="0.3">
      <c r="A10" t="s">
        <v>99</v>
      </c>
      <c r="B10" t="s">
        <v>100</v>
      </c>
    </row>
    <row r="11" spans="1:2" x14ac:dyDescent="0.3">
      <c r="A11" t="s">
        <v>101</v>
      </c>
      <c r="B11" t="s">
        <v>102</v>
      </c>
    </row>
    <row r="12" spans="1:2" x14ac:dyDescent="0.3">
      <c r="A12" t="s">
        <v>103</v>
      </c>
      <c r="B12" t="s">
        <v>104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Dashboard FInal</vt:lpstr>
      <vt:lpstr>Sales Data</vt:lpstr>
      <vt:lpstr>Dashboard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Adarsh Shukla</cp:lastModifiedBy>
  <dcterms:created xsi:type="dcterms:W3CDTF">2026-09-03T10:58:27Z</dcterms:created>
  <dcterms:modified xsi:type="dcterms:W3CDTF">2026-09-05T07:46:31Z</dcterms:modified>
</cp:coreProperties>
</file>