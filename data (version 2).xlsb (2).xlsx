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92A41207387A7E24/Documents/"/>
    </mc:Choice>
  </mc:AlternateContent>
  <xr:revisionPtr revIDLastSave="0" documentId="14_{8105852B-EBD6-4583-A951-82633FD3E760}" xr6:coauthVersionLast="47" xr6:coauthVersionMax="47" xr10:uidLastSave="{00000000-0000-0000-0000-000000000000}"/>
  <bookViews>
    <workbookView xWindow="-108" yWindow="-108" windowWidth="23256" windowHeight="13896" tabRatio="943" activeTab="1" xr2:uid="{00000000-000D-0000-FFFF-FFFF00000000}"/>
  </bookViews>
  <sheets>
    <sheet name="pivot" sheetId="3" r:id="rId1"/>
    <sheet name="Dashboard FInal" sheetId="5" r:id="rId2"/>
    <sheet name="Sales Data" sheetId="1" r:id="rId3"/>
    <sheet name="Dashboard Guide" sheetId="2" r:id="rId4"/>
  </sheets>
  <definedNames>
    <definedName name="_xlnm._FilterDatabase" localSheetId="2" hidden="1">'Sales Data'!$A$1:$L$151</definedName>
    <definedName name="_xlchart.v1.0" hidden="1">pivot!$Q$43:$Q$67</definedName>
    <definedName name="_xlchart.v1.1" hidden="1">pivot!$R$42</definedName>
    <definedName name="_xlchart.v1.11" hidden="1">pivot!$Q$43:$Q$67</definedName>
    <definedName name="_xlchart.v1.12" hidden="1">pivot!$R$42</definedName>
    <definedName name="_xlchart.v1.13" hidden="1">pivot!$R$43:$R$67</definedName>
    <definedName name="_xlchart.v1.2" hidden="1">pivot!$R$43:$R$67</definedName>
    <definedName name="_xlchart.v5.10" hidden="1">pivot!$V$34:$V$48</definedName>
    <definedName name="_xlchart.v5.3" hidden="1">pivot!$U$33</definedName>
    <definedName name="_xlchart.v5.4" hidden="1">pivot!$U$34:$U$48</definedName>
    <definedName name="_xlchart.v5.5" hidden="1">pivot!$V$33</definedName>
    <definedName name="_xlchart.v5.6" hidden="1">pivot!$V$34:$V$48</definedName>
    <definedName name="_xlchart.v5.7" hidden="1">pivot!$U$33</definedName>
    <definedName name="_xlchart.v5.8" hidden="1">pivot!$U$34:$U$48</definedName>
    <definedName name="_xlchart.v5.9" hidden="1">pivot!$V$33</definedName>
    <definedName name="Slicer_Category">#N/A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6" i="3" l="1"/>
  <c r="S57" i="3"/>
  <c r="S58" i="3"/>
  <c r="S59" i="3"/>
  <c r="S60" i="3"/>
  <c r="S61" i="3"/>
  <c r="S62" i="3"/>
  <c r="S63" i="3"/>
  <c r="S64" i="3"/>
  <c r="S65" i="3"/>
  <c r="S55" i="3"/>
  <c r="R56" i="3"/>
  <c r="R57" i="3"/>
  <c r="R58" i="3"/>
  <c r="R59" i="3"/>
  <c r="R60" i="3"/>
  <c r="R61" i="3"/>
  <c r="R62" i="3"/>
  <c r="R63" i="3"/>
  <c r="R64" i="3"/>
  <c r="R65" i="3"/>
  <c r="R66" i="3"/>
  <c r="R67" i="3"/>
  <c r="V35" i="3"/>
  <c r="V36" i="3"/>
  <c r="V37" i="3"/>
  <c r="V38" i="3"/>
  <c r="V39" i="3"/>
  <c r="V40" i="3"/>
  <c r="V41" i="3"/>
  <c r="V42" i="3"/>
  <c r="V43" i="3"/>
  <c r="V44" i="3"/>
  <c r="V45" i="3"/>
  <c r="V46" i="3"/>
  <c r="V47" i="3"/>
  <c r="V48" i="3"/>
  <c r="V34" i="3"/>
  <c r="S66" i="3"/>
  <c r="S67" i="3"/>
  <c r="S44" i="3"/>
  <c r="S45" i="3"/>
  <c r="S46" i="3"/>
  <c r="S47" i="3"/>
  <c r="S49" i="3"/>
  <c r="S50" i="3"/>
  <c r="S51" i="3"/>
  <c r="S52" i="3"/>
  <c r="S53" i="3"/>
  <c r="S54" i="3"/>
  <c r="S43" i="3"/>
  <c r="R44" i="3"/>
  <c r="R45" i="3"/>
  <c r="R46" i="3"/>
  <c r="R47" i="3"/>
  <c r="R49" i="3"/>
  <c r="R50" i="3"/>
  <c r="R51" i="3"/>
  <c r="R52" i="3"/>
  <c r="R53" i="3"/>
  <c r="R54" i="3"/>
  <c r="R43" i="3"/>
  <c r="I11" i="3"/>
  <c r="E11" i="3"/>
  <c r="B11" i="3"/>
</calcChain>
</file>

<file path=xl/sharedStrings.xml><?xml version="1.0" encoding="utf-8"?>
<sst xmlns="http://schemas.openxmlformats.org/spreadsheetml/2006/main" count="875" uniqueCount="114">
  <si>
    <t>Date</t>
  </si>
  <si>
    <t>Name</t>
  </si>
  <si>
    <t>Category</t>
  </si>
  <si>
    <t>Product Name</t>
  </si>
  <si>
    <t>State</t>
  </si>
  <si>
    <t>Gender</t>
  </si>
  <si>
    <t>Quantity</t>
  </si>
  <si>
    <t>Cost</t>
  </si>
  <si>
    <t>Price</t>
  </si>
  <si>
    <t>Purchase Cost</t>
  </si>
  <si>
    <t>Sale Price</t>
  </si>
  <si>
    <t>Profit</t>
  </si>
  <si>
    <t>Solid Ventures</t>
  </si>
  <si>
    <t>Electronics</t>
  </si>
  <si>
    <t>Speaker</t>
  </si>
  <si>
    <t>Andhra Pradesh</t>
  </si>
  <si>
    <t>Female</t>
  </si>
  <si>
    <t>Mystic India Exports</t>
  </si>
  <si>
    <t>Automobile</t>
  </si>
  <si>
    <t>Car</t>
  </si>
  <si>
    <t>Bihar</t>
  </si>
  <si>
    <t>Harmony Foods</t>
  </si>
  <si>
    <t>Accessories</t>
  </si>
  <si>
    <t>Delhi</t>
  </si>
  <si>
    <t>Male</t>
  </si>
  <si>
    <t>Sacred Roots Apparel</t>
  </si>
  <si>
    <t>Helmet</t>
  </si>
  <si>
    <t>Punjab</t>
  </si>
  <si>
    <t>Golden Horizon Ventures</t>
  </si>
  <si>
    <t>Fashion</t>
  </si>
  <si>
    <t>Jeans</t>
  </si>
  <si>
    <t>Maharashtra</t>
  </si>
  <si>
    <t>Divine Creations</t>
  </si>
  <si>
    <t>Metro Tech Solutions</t>
  </si>
  <si>
    <t>TV</t>
  </si>
  <si>
    <t>Karnataka</t>
  </si>
  <si>
    <t>Green Leaf Enterprises</t>
  </si>
  <si>
    <t>Food</t>
  </si>
  <si>
    <t>Juice</t>
  </si>
  <si>
    <t>Telangana</t>
  </si>
  <si>
    <t>Prestige Automobiles</t>
  </si>
  <si>
    <t>Madhya Pradesh</t>
  </si>
  <si>
    <t>Spices</t>
  </si>
  <si>
    <t>Tamil Nadu</t>
  </si>
  <si>
    <t>Radiant Health Systems</t>
  </si>
  <si>
    <t>Healthcare</t>
  </si>
  <si>
    <t>First Aid Kit</t>
  </si>
  <si>
    <t>Quantum Finance Services</t>
  </si>
  <si>
    <t>Health Monitor</t>
  </si>
  <si>
    <t>West Bengal</t>
  </si>
  <si>
    <t>Visionary Holdings</t>
  </si>
  <si>
    <t>Gujarat</t>
  </si>
  <si>
    <t>Tyre</t>
  </si>
  <si>
    <t>Supplements</t>
  </si>
  <si>
    <t>Brilliant Minds Academy</t>
  </si>
  <si>
    <t>Haryana</t>
  </si>
  <si>
    <t>Coffee</t>
  </si>
  <si>
    <t>Natural Bliss Beverages</t>
  </si>
  <si>
    <t>Zenith Construction Co.</t>
  </si>
  <si>
    <t>Women Dress</t>
  </si>
  <si>
    <t>Men Shirt</t>
  </si>
  <si>
    <t>Classic Cultures</t>
  </si>
  <si>
    <t>Skincare</t>
  </si>
  <si>
    <t>Chandigarh</t>
  </si>
  <si>
    <t>Biscuits</t>
  </si>
  <si>
    <t>Uttar Pradesh</t>
  </si>
  <si>
    <t>Elite Marketing Solutions</t>
  </si>
  <si>
    <t>Earbuds</t>
  </si>
  <si>
    <t>Pure Essence Skincare</t>
  </si>
  <si>
    <t>TruePath Logistics</t>
  </si>
  <si>
    <t>Vitamins</t>
  </si>
  <si>
    <t>Rajasthan</t>
  </si>
  <si>
    <t>Bharat Innovations</t>
  </si>
  <si>
    <t>Bike</t>
  </si>
  <si>
    <t>Shoes</t>
  </si>
  <si>
    <t>Urban Pulse Technologies</t>
  </si>
  <si>
    <t>Jacket</t>
  </si>
  <si>
    <t>Laptop</t>
  </si>
  <si>
    <t>Apex Solutions</t>
  </si>
  <si>
    <t>Stellar Design Studio</t>
  </si>
  <si>
    <t>Smartphone</t>
  </si>
  <si>
    <t>Snacks</t>
  </si>
  <si>
    <t>Eternal Traditions</t>
  </si>
  <si>
    <t>Dashboard Practice</t>
  </si>
  <si>
    <t>Use the Sales Data sheet to build:</t>
  </si>
  <si>
    <t>1</t>
  </si>
  <si>
    <t>Total Sales (SUM of Sale Price)</t>
  </si>
  <si>
    <t>2</t>
  </si>
  <si>
    <t>Total Profit (SUM of Profit)</t>
  </si>
  <si>
    <t>3</t>
  </si>
  <si>
    <t>Total Quantity</t>
  </si>
  <si>
    <t>4</t>
  </si>
  <si>
    <t>Sales by Category</t>
  </si>
  <si>
    <t>5</t>
  </si>
  <si>
    <t>Sales by State</t>
  </si>
  <si>
    <t>6</t>
  </si>
  <si>
    <t>Sales by Gender</t>
  </si>
  <si>
    <t>7</t>
  </si>
  <si>
    <t>Monthly Sales Trend</t>
  </si>
  <si>
    <t>8</t>
  </si>
  <si>
    <t>Top 5 Products by Sales</t>
  </si>
  <si>
    <t>9</t>
  </si>
  <si>
    <t>Top 5 Customers/Companies by Sales</t>
  </si>
  <si>
    <t>10</t>
  </si>
  <si>
    <t>Add slicers for Category, State and Gender</t>
  </si>
  <si>
    <t>Sum of Sale Price</t>
  </si>
  <si>
    <t>Sum of Purchase Cost</t>
  </si>
  <si>
    <t>Sum of Profit</t>
  </si>
  <si>
    <t>Row Labels</t>
  </si>
  <si>
    <t>Grand Total</t>
  </si>
  <si>
    <t>Apr</t>
  </si>
  <si>
    <t>May</t>
  </si>
  <si>
    <t>Jun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</si>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</sst>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m\ yyyy"/>
  </numFmts>
  <fonts count="7" x14ac:knownFonts="1">
    <font>
      <sz val="11"/>
      <color theme="1"/>
      <name val="Calibri"/>
      <family val="2"/>
      <scheme val="minor"/>
    </font>
    <font>
      <b/>
      <sz val="11"/>
      <name val="Calibri"/>
      <family val="2"/>
    </font>
    <font>
      <b/>
      <sz val="16"/>
      <name val="Calibri"/>
      <family val="2"/>
    </font>
    <font>
      <sz val="11"/>
      <color theme="1"/>
      <name val="Calibri"/>
      <family val="2"/>
      <scheme val="minor"/>
    </font>
    <font>
      <b/>
      <sz val="11"/>
      <color theme="1"/>
      <name val="Calibri"/>
      <family val="2"/>
      <scheme val="minor"/>
    </font>
    <font>
      <sz val="11"/>
      <color theme="1"/>
      <name val="Amasis MT Pro Black"/>
      <family val="1"/>
    </font>
    <font>
      <i/>
      <sz val="12"/>
      <color theme="0"/>
      <name val="Calibri"/>
      <family val="2"/>
      <scheme val="minor"/>
    </font>
  </fonts>
  <fills count="4">
    <fill>
      <patternFill patternType="none"/>
    </fill>
    <fill>
      <patternFill patternType="gray125"/>
    </fill>
    <fill>
      <patternFill patternType="solid">
        <fgColor rgb="FFD9EAF7"/>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14">
    <xf numFmtId="0" fontId="0" fillId="0" borderId="0" xfId="0"/>
    <xf numFmtId="0" fontId="1" fillId="2" borderId="0" xfId="0" applyFont="1" applyFill="1" applyAlignment="1">
      <alignment horizontal="center"/>
    </xf>
    <xf numFmtId="164" fontId="0" fillId="0" borderId="0" xfId="0" applyNumberFormat="1"/>
    <xf numFmtId="3" fontId="0" fillId="0" borderId="0" xfId="0" applyNumberForma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4" fillId="3" borderId="1" xfId="0" applyFont="1" applyFill="1" applyBorder="1"/>
    <xf numFmtId="9" fontId="0" fillId="0" borderId="0" xfId="1" applyFont="1"/>
    <xf numFmtId="9" fontId="4" fillId="3" borderId="1" xfId="1" applyFont="1" applyFill="1" applyBorder="1"/>
    <xf numFmtId="0" fontId="5" fillId="0" borderId="0" xfId="0" applyFont="1"/>
    <xf numFmtId="0" fontId="6" fillId="0" borderId="0" xfId="0" applyFont="1" applyAlignment="1">
      <alignment vertical="center"/>
    </xf>
    <xf numFmtId="0" fontId="0" fillId="0" borderId="0" xfId="0" applyAlignment="1">
      <alignment horizontal="center"/>
    </xf>
  </cellXfs>
  <cellStyles count="2">
    <cellStyle name="Normal" xfId="0" builtinId="0"/>
    <cellStyle name="Percent" xfId="1" builtinId="5"/>
  </cellStyles>
  <dxfs count="18">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65" formatCode="0.0%"/>
    </dxf>
    <dxf>
      <numFmt numFmtId="14" formatCode="0.00%"/>
    </dxf>
    <dxf>
      <numFmt numFmtId="14" formatCode="0.00%"/>
    </dxf>
    <dxf>
      <numFmt numFmtId="165" formatCode="0.0%"/>
    </dxf>
  </dxfs>
  <tableStyles count="0" defaultTableStyle="TableStyleMedium9" defaultPivotStyle="PivotStyleLight16"/>
  <colors>
    <mruColors>
      <color rgb="FF1839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 (2).xlsx]pivot!Total Sale</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79-496D-8612-859954A670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79-496D-8612-859954A670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79-496D-8612-859954A670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79-496D-8612-859954A670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79-496D-8612-859954A67078}"/>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pivot!$A$14:$A$15</c:f>
              <c:strCache>
                <c:ptCount val="1"/>
                <c:pt idx="0">
                  <c:v>Healthcare</c:v>
                </c:pt>
              </c:strCache>
            </c:strRef>
          </c:cat>
          <c:val>
            <c:numRef>
              <c:f>pivot!$B$14:$B$15</c:f>
              <c:numCache>
                <c:formatCode>#,##0</c:formatCode>
                <c:ptCount val="1"/>
                <c:pt idx="0">
                  <c:v>2353508</c:v>
                </c:pt>
              </c:numCache>
            </c:numRef>
          </c:val>
          <c:extLst>
            <c:ext xmlns:c16="http://schemas.microsoft.com/office/drawing/2014/chart" uri="{C3380CC4-5D6E-409C-BE32-E72D297353CC}">
              <c16:uniqueId val="{00000000-CDA4-4603-96D9-2798C03840CC}"/>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 (2).xlsx]pivot!Total Purchase</c:name>
    <c:fmtId val="7"/>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pivot!$E$13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0D-493D-9CA1-B839BF1BD6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0D-493D-9CA1-B839BF1BD6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0D-493D-9CA1-B839BF1BD62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0D-493D-9CA1-B839BF1BD62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0D-493D-9CA1-B839BF1BD622}"/>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pivot!$D$14:$D$15</c:f>
              <c:strCache>
                <c:ptCount val="1"/>
                <c:pt idx="0">
                  <c:v>Healthcare</c:v>
                </c:pt>
              </c:strCache>
            </c:strRef>
          </c:cat>
          <c:val>
            <c:numRef>
              <c:f>pivot!$E$14:$E$15</c:f>
              <c:numCache>
                <c:formatCode>#,##0</c:formatCode>
                <c:ptCount val="1"/>
                <c:pt idx="0">
                  <c:v>1356702</c:v>
                </c:pt>
              </c:numCache>
            </c:numRef>
          </c:val>
          <c:extLst>
            <c:ext xmlns:c16="http://schemas.microsoft.com/office/drawing/2014/chart" uri="{C3380CC4-5D6E-409C-BE32-E72D297353CC}">
              <c16:uniqueId val="{00000000-5125-47D4-8BA9-8E4453FAA6A4}"/>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 (2).xlsx]pivot!Total Profit</c:name>
    <c:fmtId val="1"/>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pivot!$I$13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0A-4E2C-9B97-6658409FA3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0A-4E2C-9B97-6658409FA3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0A-4E2C-9B97-6658409FA3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0A-4E2C-9B97-6658409FA3FC}"/>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pivot!$H$14:$H$15</c:f>
              <c:strCache>
                <c:ptCount val="1"/>
                <c:pt idx="0">
                  <c:v>Healthcare</c:v>
                </c:pt>
              </c:strCache>
            </c:strRef>
          </c:cat>
          <c:val>
            <c:numRef>
              <c:f>pivot!$I$14:$I$15</c:f>
              <c:numCache>
                <c:formatCode>#,##0</c:formatCode>
                <c:ptCount val="1"/>
                <c:pt idx="0">
                  <c:v>996806</c:v>
                </c:pt>
              </c:numCache>
            </c:numRef>
          </c:val>
          <c:extLst>
            <c:ext xmlns:c16="http://schemas.microsoft.com/office/drawing/2014/chart" uri="{C3380CC4-5D6E-409C-BE32-E72D297353CC}">
              <c16:uniqueId val="{00000000-3C75-4E3C-B5B7-5B4609EEAE80}"/>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 (2).xlsx]pivot!monthwies</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pivot!$L$13</c:f>
              <c:strCache>
                <c:ptCount val="1"/>
                <c:pt idx="0">
                  <c:v>Sum of Sale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pivot!$K$14:$K$17</c:f>
              <c:strCache>
                <c:ptCount val="3"/>
                <c:pt idx="0">
                  <c:v>Apr</c:v>
                </c:pt>
                <c:pt idx="1">
                  <c:v>May</c:v>
                </c:pt>
                <c:pt idx="2">
                  <c:v>Jun</c:v>
                </c:pt>
              </c:strCache>
            </c:strRef>
          </c:cat>
          <c:val>
            <c:numRef>
              <c:f>pivot!$L$14:$L$17</c:f>
              <c:numCache>
                <c:formatCode>#,##0</c:formatCode>
                <c:ptCount val="3"/>
                <c:pt idx="0">
                  <c:v>1009553</c:v>
                </c:pt>
                <c:pt idx="1">
                  <c:v>766073</c:v>
                </c:pt>
                <c:pt idx="2">
                  <c:v>577882</c:v>
                </c:pt>
              </c:numCache>
            </c:numRef>
          </c:val>
          <c:extLst>
            <c:ext xmlns:c16="http://schemas.microsoft.com/office/drawing/2014/chart" uri="{C3380CC4-5D6E-409C-BE32-E72D297353CC}">
              <c16:uniqueId val="{00000003-43C8-4591-AF65-8DED9F3B2127}"/>
            </c:ext>
          </c:extLst>
        </c:ser>
        <c:ser>
          <c:idx val="1"/>
          <c:order val="1"/>
          <c:tx>
            <c:strRef>
              <c:f>pivot!$M$13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pivot!$K$14:$K$17</c:f>
              <c:strCache>
                <c:ptCount val="3"/>
                <c:pt idx="0">
                  <c:v>Apr</c:v>
                </c:pt>
                <c:pt idx="1">
                  <c:v>May</c:v>
                </c:pt>
                <c:pt idx="2">
                  <c:v>Jun</c:v>
                </c:pt>
              </c:strCache>
            </c:strRef>
          </c:cat>
          <c:val>
            <c:numRef>
              <c:f>pivot!$M$14:$M$17</c:f>
              <c:numCache>
                <c:formatCode>#,##0</c:formatCode>
                <c:ptCount val="3"/>
                <c:pt idx="0">
                  <c:v>447234</c:v>
                </c:pt>
                <c:pt idx="1">
                  <c:v>298069</c:v>
                </c:pt>
                <c:pt idx="2">
                  <c:v>251503</c:v>
                </c:pt>
              </c:numCache>
            </c:numRef>
          </c:val>
          <c:extLst>
            <c:ext xmlns:c16="http://schemas.microsoft.com/office/drawing/2014/chart" uri="{C3380CC4-5D6E-409C-BE32-E72D297353CC}">
              <c16:uniqueId val="{00000004-43C8-4591-AF65-8DED9F3B2127}"/>
            </c:ext>
          </c:extLst>
        </c:ser>
        <c:dLbls>
          <c:dLblPos val="outEnd"/>
          <c:showLegendKey val="0"/>
          <c:showVal val="1"/>
          <c:showCatName val="0"/>
          <c:showSerName val="0"/>
          <c:showPercent val="0"/>
          <c:showBubbleSize val="0"/>
        </c:dLbls>
        <c:gapWidth val="219"/>
        <c:overlap val="-27"/>
        <c:axId val="749703680"/>
        <c:axId val="749705840"/>
      </c:barChart>
      <c:catAx>
        <c:axId val="74970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5840"/>
        <c:crosses val="autoZero"/>
        <c:auto val="1"/>
        <c:lblAlgn val="ctr"/>
        <c:lblOffset val="100"/>
        <c:noMultiLvlLbl val="0"/>
      </c:catAx>
      <c:valAx>
        <c:axId val="749705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0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589341798541977"/>
          <c:y val="0.11862550120332672"/>
          <c:w val="0.4165194485142415"/>
          <c:h val="0.91637304576456158"/>
        </c:manualLayout>
      </c:layout>
      <c:doughnutChart>
        <c:varyColors val="1"/>
        <c:ser>
          <c:idx val="0"/>
          <c:order val="0"/>
          <c:tx>
            <c:strRef>
              <c:f>pivot!$S$42</c:f>
              <c:strCache>
                <c:ptCount val="1"/>
                <c:pt idx="0">
                  <c:v>Sum of Profit</c:v>
                </c:pt>
              </c:strCache>
            </c:strRef>
          </c:tx>
          <c:explosion val="2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53-405A-88AC-80EC30CD60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53-405A-88AC-80EC30CD607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53-405A-88AC-80EC30CD607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53-405A-88AC-80EC30CD607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53-405A-88AC-80EC30CD607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53-405A-88AC-80EC30CD607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53-405A-88AC-80EC30CD607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753-405A-88AC-80EC30CD607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753-405A-88AC-80EC30CD607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753-405A-88AC-80EC30CD607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753-405A-88AC-80EC30CD607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753-405A-88AC-80EC30CD607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753-405A-88AC-80EC30CD607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753-405A-88AC-80EC30CD607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753-405A-88AC-80EC30CD607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753-405A-88AC-80EC30CD607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753-405A-88AC-80EC30CD607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753-405A-88AC-80EC30CD607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753-405A-88AC-80EC30CD607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753-405A-88AC-80EC30CD607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753-405A-88AC-80EC30CD607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7753-405A-88AC-80EC30CD607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7753-405A-88AC-80EC30CD607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7753-405A-88AC-80EC30CD6071}"/>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7753-405A-88AC-80EC30CD607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pivot!$Q$43:$Q$67</c:f>
              <c:strCache>
                <c:ptCount val="25"/>
                <c:pt idx="0">
                  <c:v>Accessories</c:v>
                </c:pt>
                <c:pt idx="1">
                  <c:v>Bike</c:v>
                </c:pt>
                <c:pt idx="2">
                  <c:v>Biscuits</c:v>
                </c:pt>
                <c:pt idx="3">
                  <c:v>Car</c:v>
                </c:pt>
                <c:pt idx="4">
                  <c:v>Coffee</c:v>
                </c:pt>
                <c:pt idx="5">
                  <c:v>Earbuds</c:v>
                </c:pt>
                <c:pt idx="6">
                  <c:v>First Aid Kit</c:v>
                </c:pt>
                <c:pt idx="7">
                  <c:v>Health Monitor</c:v>
                </c:pt>
                <c:pt idx="8">
                  <c:v>Helmet</c:v>
                </c:pt>
                <c:pt idx="9">
                  <c:v>Jacket</c:v>
                </c:pt>
                <c:pt idx="10">
                  <c:v>Jeans</c:v>
                </c:pt>
                <c:pt idx="11">
                  <c:v>Juice</c:v>
                </c:pt>
                <c:pt idx="12">
                  <c:v>Laptop</c:v>
                </c:pt>
                <c:pt idx="13">
                  <c:v>Men Shirt</c:v>
                </c:pt>
                <c:pt idx="14">
                  <c:v>Shoes</c:v>
                </c:pt>
                <c:pt idx="15">
                  <c:v>Skincare</c:v>
                </c:pt>
                <c:pt idx="16">
                  <c:v>Smartphone</c:v>
                </c:pt>
                <c:pt idx="17">
                  <c:v>Snacks</c:v>
                </c:pt>
                <c:pt idx="18">
                  <c:v>Speaker</c:v>
                </c:pt>
                <c:pt idx="19">
                  <c:v>Spices</c:v>
                </c:pt>
                <c:pt idx="20">
                  <c:v>Supplements</c:v>
                </c:pt>
                <c:pt idx="21">
                  <c:v>TV</c:v>
                </c:pt>
                <c:pt idx="22">
                  <c:v>Tyre</c:v>
                </c:pt>
                <c:pt idx="23">
                  <c:v>Vitamins</c:v>
                </c:pt>
                <c:pt idx="24">
                  <c:v>Women Dress</c:v>
                </c:pt>
              </c:strCache>
            </c:strRef>
          </c:cat>
          <c:val>
            <c:numRef>
              <c:f>pivot!$S$43:$S$67</c:f>
              <c:numCache>
                <c:formatCode>0%</c:formatCode>
                <c:ptCount val="25"/>
                <c:pt idx="0">
                  <c:v>0</c:v>
                </c:pt>
                <c:pt idx="1">
                  <c:v>0</c:v>
                </c:pt>
                <c:pt idx="2">
                  <c:v>0</c:v>
                </c:pt>
                <c:pt idx="3">
                  <c:v>0</c:v>
                </c:pt>
                <c:pt idx="4">
                  <c:v>0</c:v>
                </c:pt>
                <c:pt idx="6">
                  <c:v>0.13687718573122554</c:v>
                </c:pt>
                <c:pt idx="7">
                  <c:v>0.21111630547970217</c:v>
                </c:pt>
                <c:pt idx="8">
                  <c:v>0</c:v>
                </c:pt>
                <c:pt idx="9">
                  <c:v>0</c:v>
                </c:pt>
                <c:pt idx="10">
                  <c:v>0</c:v>
                </c:pt>
                <c:pt idx="11">
                  <c:v>0</c:v>
                </c:pt>
                <c:pt idx="12">
                  <c:v>0</c:v>
                </c:pt>
                <c:pt idx="13">
                  <c:v>0</c:v>
                </c:pt>
                <c:pt idx="14">
                  <c:v>0</c:v>
                </c:pt>
                <c:pt idx="15">
                  <c:v>0.32643864503223297</c:v>
                </c:pt>
                <c:pt idx="16">
                  <c:v>0</c:v>
                </c:pt>
                <c:pt idx="17">
                  <c:v>0</c:v>
                </c:pt>
                <c:pt idx="18">
                  <c:v>0</c:v>
                </c:pt>
                <c:pt idx="19">
                  <c:v>0</c:v>
                </c:pt>
                <c:pt idx="20">
                  <c:v>0.15463289747453365</c:v>
                </c:pt>
                <c:pt idx="21">
                  <c:v>0</c:v>
                </c:pt>
                <c:pt idx="22">
                  <c:v>0</c:v>
                </c:pt>
                <c:pt idx="23">
                  <c:v>0.17093496628230567</c:v>
                </c:pt>
                <c:pt idx="24">
                  <c:v>0</c:v>
                </c:pt>
              </c:numCache>
            </c:numRef>
          </c:val>
          <c:extLst>
            <c:ext xmlns:c16="http://schemas.microsoft.com/office/drawing/2014/chart" uri="{C3380CC4-5D6E-409C-BE32-E72D297353CC}">
              <c16:uniqueId val="{00000000-A916-45D6-9C00-D940F746EB02}"/>
            </c:ext>
          </c:extLst>
        </c:ser>
        <c:dLbls>
          <c:showLegendKey val="0"/>
          <c:showVal val="1"/>
          <c:showCatName val="0"/>
          <c:showSerName val="0"/>
          <c:showPercent val="0"/>
          <c:showBubbleSize val="0"/>
          <c:showLeaderLines val="0"/>
        </c:dLbls>
        <c:firstSliceAng val="358"/>
        <c:holeSize val="37"/>
      </c:doughnutChart>
      <c:spPr>
        <a:noFill/>
        <a:ln>
          <a:solidFill>
            <a:schemeClr val="accent1">
              <a:alpha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 (2).xlsx]pivot!Total Sale</c:name>
    <c:fmtId val="418"/>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7.8028028983775323E-3"/>
          <c:y val="0.33000537104892991"/>
          <c:w val="0.93743528207314197"/>
          <c:h val="0.47192789645907707"/>
        </c:manualLayout>
      </c:layout>
      <c:pieChart>
        <c:varyColors val="1"/>
        <c:ser>
          <c:idx val="0"/>
          <c:order val="0"/>
          <c:tx>
            <c:strRef>
              <c:f>pivot!$B$13</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4B-4A41-B8A2-AF2F8901B7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4B-4A41-B8A2-AF2F8901B7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4B-4A41-B8A2-AF2F8901B7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4B-4A41-B8A2-AF2F8901B7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4B-4A41-B8A2-AF2F8901B717}"/>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pivot!$A$14:$A$15</c:f>
              <c:strCache>
                <c:ptCount val="1"/>
                <c:pt idx="0">
                  <c:v>Healthcare</c:v>
                </c:pt>
              </c:strCache>
            </c:strRef>
          </c:cat>
          <c:val>
            <c:numRef>
              <c:f>pivot!$B$14:$B$15</c:f>
              <c:numCache>
                <c:formatCode>#,##0</c:formatCode>
                <c:ptCount val="1"/>
                <c:pt idx="0">
                  <c:v>2353508</c:v>
                </c:pt>
              </c:numCache>
            </c:numRef>
          </c:val>
          <c:extLst>
            <c:ext xmlns:c16="http://schemas.microsoft.com/office/drawing/2014/chart" uri="{C3380CC4-5D6E-409C-BE32-E72D297353CC}">
              <c16:uniqueId val="{0000000A-334B-4A41-B8A2-AF2F8901B717}"/>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 (2).xlsx]pivot!Total Purchase</c:name>
    <c:fmtId val="410"/>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
          <c:y val="3.11180608633118E-3"/>
          <c:w val="0.68691988063160125"/>
          <c:h val="0.60787854139348763"/>
        </c:manualLayout>
      </c:layout>
      <c:pieChart>
        <c:varyColors val="1"/>
        <c:ser>
          <c:idx val="0"/>
          <c:order val="0"/>
          <c:tx>
            <c:strRef>
              <c:f>pivot!$E$13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70-4439-BA3E-ADB2DAF34EF1}"/>
              </c:ext>
            </c:extLst>
          </c:dPt>
          <c:dPt>
            <c:idx val="1"/>
            <c:bubble3D val="0"/>
            <c:explosion val="2"/>
            <c:spPr>
              <a:solidFill>
                <a:schemeClr val="accent2"/>
              </a:solidFill>
              <a:ln w="19050">
                <a:solidFill>
                  <a:schemeClr val="lt1"/>
                </a:solidFill>
              </a:ln>
              <a:effectLst/>
            </c:spPr>
            <c:extLst>
              <c:ext xmlns:c16="http://schemas.microsoft.com/office/drawing/2014/chart" uri="{C3380CC4-5D6E-409C-BE32-E72D297353CC}">
                <c16:uniqueId val="{00000003-B570-4439-BA3E-ADB2DAF34E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70-4439-BA3E-ADB2DAF34E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70-4439-BA3E-ADB2DAF34E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570-4439-BA3E-ADB2DAF34EF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pivot!$D$14:$D$15</c:f>
              <c:strCache>
                <c:ptCount val="1"/>
                <c:pt idx="0">
                  <c:v>Healthcare</c:v>
                </c:pt>
              </c:strCache>
            </c:strRef>
          </c:cat>
          <c:val>
            <c:numRef>
              <c:f>pivot!$E$14:$E$15</c:f>
              <c:numCache>
                <c:formatCode>#,##0</c:formatCode>
                <c:ptCount val="1"/>
                <c:pt idx="0">
                  <c:v>1356702</c:v>
                </c:pt>
              </c:numCache>
            </c:numRef>
          </c:val>
          <c:extLst>
            <c:ext xmlns:c16="http://schemas.microsoft.com/office/drawing/2014/chart" uri="{C3380CC4-5D6E-409C-BE32-E72D297353CC}">
              <c16:uniqueId val="{0000000A-B570-4439-BA3E-ADB2DAF34EF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 (2).xlsx]pivot!Total Profit</c:name>
    <c:fmtId val="230"/>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7.5547421374169921E-2"/>
          <c:y val="0.17147084892233486"/>
          <c:w val="0.81532852552980684"/>
          <c:h val="0.65705883480913951"/>
        </c:manualLayout>
      </c:layout>
      <c:pieChart>
        <c:varyColors val="1"/>
        <c:ser>
          <c:idx val="0"/>
          <c:order val="0"/>
          <c:tx>
            <c:strRef>
              <c:f>pivot!$I$13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C2-4061-B9B6-D943BD3887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C2-4061-B9B6-D943BD3887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C2-4061-B9B6-D943BD3887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C2-4061-B9B6-D943BD38872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pivot!$H$14:$H$15</c:f>
              <c:strCache>
                <c:ptCount val="1"/>
                <c:pt idx="0">
                  <c:v>Healthcare</c:v>
                </c:pt>
              </c:strCache>
            </c:strRef>
          </c:cat>
          <c:val>
            <c:numRef>
              <c:f>pivot!$I$14:$I$15</c:f>
              <c:numCache>
                <c:formatCode>#,##0</c:formatCode>
                <c:ptCount val="1"/>
                <c:pt idx="0">
                  <c:v>996806</c:v>
                </c:pt>
              </c:numCache>
            </c:numRef>
          </c:val>
          <c:extLst>
            <c:ext xmlns:c16="http://schemas.microsoft.com/office/drawing/2014/chart" uri="{C3380CC4-5D6E-409C-BE32-E72D297353CC}">
              <c16:uniqueId val="{00000008-85C2-4061-B9B6-D943BD38872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(version 2).xlsb (2).xlsx]pivot!monthwies</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pivot!$L$13</c:f>
              <c:strCache>
                <c:ptCount val="1"/>
                <c:pt idx="0">
                  <c:v>Sum of Sale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pivot!$K$14:$K$17</c:f>
              <c:strCache>
                <c:ptCount val="3"/>
                <c:pt idx="0">
                  <c:v>Apr</c:v>
                </c:pt>
                <c:pt idx="1">
                  <c:v>May</c:v>
                </c:pt>
                <c:pt idx="2">
                  <c:v>Jun</c:v>
                </c:pt>
              </c:strCache>
            </c:strRef>
          </c:cat>
          <c:val>
            <c:numRef>
              <c:f>pivot!$L$14:$L$17</c:f>
              <c:numCache>
                <c:formatCode>#,##0</c:formatCode>
                <c:ptCount val="3"/>
                <c:pt idx="0">
                  <c:v>1009553</c:v>
                </c:pt>
                <c:pt idx="1">
                  <c:v>766073</c:v>
                </c:pt>
                <c:pt idx="2">
                  <c:v>577882</c:v>
                </c:pt>
              </c:numCache>
            </c:numRef>
          </c:val>
          <c:extLst>
            <c:ext xmlns:c16="http://schemas.microsoft.com/office/drawing/2014/chart" uri="{C3380CC4-5D6E-409C-BE32-E72D297353CC}">
              <c16:uniqueId val="{00000000-94B9-4291-A78B-DFB5FD4A0E0A}"/>
            </c:ext>
          </c:extLst>
        </c:ser>
        <c:ser>
          <c:idx val="1"/>
          <c:order val="1"/>
          <c:tx>
            <c:strRef>
              <c:f>pivot!$M$13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pivot!$K$14:$K$17</c:f>
              <c:strCache>
                <c:ptCount val="3"/>
                <c:pt idx="0">
                  <c:v>Apr</c:v>
                </c:pt>
                <c:pt idx="1">
                  <c:v>May</c:v>
                </c:pt>
                <c:pt idx="2">
                  <c:v>Jun</c:v>
                </c:pt>
              </c:strCache>
            </c:strRef>
          </c:cat>
          <c:val>
            <c:numRef>
              <c:f>pivot!$M$14:$M$17</c:f>
              <c:numCache>
                <c:formatCode>#,##0</c:formatCode>
                <c:ptCount val="3"/>
                <c:pt idx="0">
                  <c:v>447234</c:v>
                </c:pt>
                <c:pt idx="1">
                  <c:v>298069</c:v>
                </c:pt>
                <c:pt idx="2">
                  <c:v>251503</c:v>
                </c:pt>
              </c:numCache>
            </c:numRef>
          </c:val>
          <c:extLst>
            <c:ext xmlns:c16="http://schemas.microsoft.com/office/drawing/2014/chart" uri="{C3380CC4-5D6E-409C-BE32-E72D297353CC}">
              <c16:uniqueId val="{00000001-94B9-4291-A78B-DFB5FD4A0E0A}"/>
            </c:ext>
          </c:extLst>
        </c:ser>
        <c:dLbls>
          <c:dLblPos val="outEnd"/>
          <c:showLegendKey val="0"/>
          <c:showVal val="1"/>
          <c:showCatName val="0"/>
          <c:showSerName val="0"/>
          <c:showPercent val="0"/>
          <c:showBubbleSize val="0"/>
        </c:dLbls>
        <c:gapWidth val="219"/>
        <c:overlap val="-27"/>
        <c:axId val="749703680"/>
        <c:axId val="749705840"/>
      </c:barChart>
      <c:catAx>
        <c:axId val="74970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49705840"/>
        <c:crosses val="autoZero"/>
        <c:auto val="1"/>
        <c:lblAlgn val="ctr"/>
        <c:lblOffset val="100"/>
        <c:noMultiLvlLbl val="0"/>
      </c:catAx>
      <c:valAx>
        <c:axId val="749705840"/>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4970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810344827586203E-3"/>
          <c:y val="2.805692897661766E-2"/>
          <c:w val="0.4165194485142415"/>
          <c:h val="0.91637304576456158"/>
        </c:manualLayout>
      </c:layout>
      <c:doughnutChart>
        <c:varyColors val="1"/>
        <c:ser>
          <c:idx val="0"/>
          <c:order val="0"/>
          <c:tx>
            <c:strRef>
              <c:f>pivot!$S$42</c:f>
              <c:strCache>
                <c:ptCount val="1"/>
                <c:pt idx="0">
                  <c:v>Sum of Profit</c:v>
                </c:pt>
              </c:strCache>
            </c:strRef>
          </c:tx>
          <c:explosion val="26"/>
          <c:dPt>
            <c:idx val="0"/>
            <c:bubble3D val="0"/>
            <c:spPr>
              <a:solidFill>
                <a:schemeClr val="accent6"/>
              </a:solidFill>
              <a:ln w="19050">
                <a:solidFill>
                  <a:schemeClr val="lt1"/>
                </a:solidFill>
              </a:ln>
              <a:effectLst/>
            </c:spPr>
            <c:extLst>
              <c:ext xmlns:c16="http://schemas.microsoft.com/office/drawing/2014/chart" uri="{C3380CC4-5D6E-409C-BE32-E72D297353CC}">
                <c16:uniqueId val="{00000001-2B4F-4B68-9A70-F09537B0AFD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B4F-4B68-9A70-F09537B0AFD1}"/>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2B4F-4B68-9A70-F09537B0AFD1}"/>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2B4F-4B68-9A70-F09537B0AFD1}"/>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2B4F-4B68-9A70-F09537B0AFD1}"/>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2B4F-4B68-9A70-F09537B0AFD1}"/>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2B4F-4B68-9A70-F09537B0AFD1}"/>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2B4F-4B68-9A70-F09537B0AFD1}"/>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2B4F-4B68-9A70-F09537B0AFD1}"/>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2B4F-4B68-9A70-F09537B0AFD1}"/>
              </c:ext>
            </c:extLst>
          </c:dPt>
          <c:dPt>
            <c:idx val="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5-2B4F-4B68-9A70-F09537B0AFD1}"/>
              </c:ext>
            </c:extLst>
          </c:dPt>
          <c:dPt>
            <c:idx val="1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7-2B4F-4B68-9A70-F09537B0AFD1}"/>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2B4F-4B68-9A70-F09537B0AFD1}"/>
              </c:ext>
            </c:extLst>
          </c:dPt>
          <c:dPt>
            <c:idx val="1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B-2B4F-4B68-9A70-F09537B0AFD1}"/>
              </c:ext>
            </c:extLst>
          </c:dPt>
          <c:dPt>
            <c:idx val="14"/>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D-2B4F-4B68-9A70-F09537B0AFD1}"/>
              </c:ext>
            </c:extLst>
          </c:dPt>
          <c:dPt>
            <c:idx val="1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1F-2B4F-4B68-9A70-F09537B0AFD1}"/>
              </c:ext>
            </c:extLst>
          </c:dPt>
          <c:dPt>
            <c:idx val="1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21-2B4F-4B68-9A70-F09537B0AFD1}"/>
              </c:ext>
            </c:extLst>
          </c:dPt>
          <c:dPt>
            <c:idx val="1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23-2B4F-4B68-9A70-F09537B0AFD1}"/>
              </c:ext>
            </c:extLst>
          </c:dPt>
          <c:dPt>
            <c:idx val="18"/>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25-2B4F-4B68-9A70-F09537B0AFD1}"/>
              </c:ext>
            </c:extLst>
          </c:dPt>
          <c:dPt>
            <c:idx val="19"/>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27-2B4F-4B68-9A70-F09537B0AFD1}"/>
              </c:ext>
            </c:extLst>
          </c:dPt>
          <c:dPt>
            <c:idx val="20"/>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29-2B4F-4B68-9A70-F09537B0AFD1}"/>
              </c:ext>
            </c:extLst>
          </c:dPt>
          <c:dPt>
            <c:idx val="2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2B-2B4F-4B68-9A70-F09537B0AFD1}"/>
              </c:ext>
            </c:extLst>
          </c:dPt>
          <c:dPt>
            <c:idx val="2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2D-2B4F-4B68-9A70-F09537B0AFD1}"/>
              </c:ext>
            </c:extLst>
          </c:dPt>
          <c:dPt>
            <c:idx val="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2F-2B4F-4B68-9A70-F09537B0AFD1}"/>
              </c:ext>
            </c:extLst>
          </c:dPt>
          <c:dPt>
            <c:idx val="24"/>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31-2B4F-4B68-9A70-F09537B0AFD1}"/>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pivot!$Q$43:$Q$67</c:f>
              <c:strCache>
                <c:ptCount val="25"/>
                <c:pt idx="0">
                  <c:v>Accessories</c:v>
                </c:pt>
                <c:pt idx="1">
                  <c:v>Bike</c:v>
                </c:pt>
                <c:pt idx="2">
                  <c:v>Biscuits</c:v>
                </c:pt>
                <c:pt idx="3">
                  <c:v>Car</c:v>
                </c:pt>
                <c:pt idx="4">
                  <c:v>Coffee</c:v>
                </c:pt>
                <c:pt idx="5">
                  <c:v>Earbuds</c:v>
                </c:pt>
                <c:pt idx="6">
                  <c:v>First Aid Kit</c:v>
                </c:pt>
                <c:pt idx="7">
                  <c:v>Health Monitor</c:v>
                </c:pt>
                <c:pt idx="8">
                  <c:v>Helmet</c:v>
                </c:pt>
                <c:pt idx="9">
                  <c:v>Jacket</c:v>
                </c:pt>
                <c:pt idx="10">
                  <c:v>Jeans</c:v>
                </c:pt>
                <c:pt idx="11">
                  <c:v>Juice</c:v>
                </c:pt>
                <c:pt idx="12">
                  <c:v>Laptop</c:v>
                </c:pt>
                <c:pt idx="13">
                  <c:v>Men Shirt</c:v>
                </c:pt>
                <c:pt idx="14">
                  <c:v>Shoes</c:v>
                </c:pt>
                <c:pt idx="15">
                  <c:v>Skincare</c:v>
                </c:pt>
                <c:pt idx="16">
                  <c:v>Smartphone</c:v>
                </c:pt>
                <c:pt idx="17">
                  <c:v>Snacks</c:v>
                </c:pt>
                <c:pt idx="18">
                  <c:v>Speaker</c:v>
                </c:pt>
                <c:pt idx="19">
                  <c:v>Spices</c:v>
                </c:pt>
                <c:pt idx="20">
                  <c:v>Supplements</c:v>
                </c:pt>
                <c:pt idx="21">
                  <c:v>TV</c:v>
                </c:pt>
                <c:pt idx="22">
                  <c:v>Tyre</c:v>
                </c:pt>
                <c:pt idx="23">
                  <c:v>Vitamins</c:v>
                </c:pt>
                <c:pt idx="24">
                  <c:v>Women Dress</c:v>
                </c:pt>
              </c:strCache>
            </c:strRef>
          </c:cat>
          <c:val>
            <c:numRef>
              <c:f>pivot!$S$43:$S$67</c:f>
              <c:numCache>
                <c:formatCode>0%</c:formatCode>
                <c:ptCount val="25"/>
                <c:pt idx="0">
                  <c:v>0</c:v>
                </c:pt>
                <c:pt idx="1">
                  <c:v>0</c:v>
                </c:pt>
                <c:pt idx="2">
                  <c:v>0</c:v>
                </c:pt>
                <c:pt idx="3">
                  <c:v>0</c:v>
                </c:pt>
                <c:pt idx="4">
                  <c:v>0</c:v>
                </c:pt>
                <c:pt idx="6">
                  <c:v>0.13687718573122554</c:v>
                </c:pt>
                <c:pt idx="7">
                  <c:v>0.21111630547970217</c:v>
                </c:pt>
                <c:pt idx="8">
                  <c:v>0</c:v>
                </c:pt>
                <c:pt idx="9">
                  <c:v>0</c:v>
                </c:pt>
                <c:pt idx="10">
                  <c:v>0</c:v>
                </c:pt>
                <c:pt idx="11">
                  <c:v>0</c:v>
                </c:pt>
                <c:pt idx="12">
                  <c:v>0</c:v>
                </c:pt>
                <c:pt idx="13">
                  <c:v>0</c:v>
                </c:pt>
                <c:pt idx="14">
                  <c:v>0</c:v>
                </c:pt>
                <c:pt idx="15">
                  <c:v>0.32643864503223297</c:v>
                </c:pt>
                <c:pt idx="16">
                  <c:v>0</c:v>
                </c:pt>
                <c:pt idx="17">
                  <c:v>0</c:v>
                </c:pt>
                <c:pt idx="18">
                  <c:v>0</c:v>
                </c:pt>
                <c:pt idx="19">
                  <c:v>0</c:v>
                </c:pt>
                <c:pt idx="20">
                  <c:v>0.15463289747453365</c:v>
                </c:pt>
                <c:pt idx="21">
                  <c:v>0</c:v>
                </c:pt>
                <c:pt idx="22">
                  <c:v>0</c:v>
                </c:pt>
                <c:pt idx="23">
                  <c:v>0.17093496628230567</c:v>
                </c:pt>
                <c:pt idx="24">
                  <c:v>0</c:v>
                </c:pt>
              </c:numCache>
            </c:numRef>
          </c:val>
          <c:extLst>
            <c:ext xmlns:c16="http://schemas.microsoft.com/office/drawing/2014/chart" uri="{C3380CC4-5D6E-409C-BE32-E72D297353CC}">
              <c16:uniqueId val="{00000032-2B4F-4B68-9A70-F09537B0AFD1}"/>
            </c:ext>
          </c:extLst>
        </c:ser>
        <c:dLbls>
          <c:showLegendKey val="0"/>
          <c:showVal val="1"/>
          <c:showCatName val="0"/>
          <c:showSerName val="0"/>
          <c:showPercent val="0"/>
          <c:showBubbleSize val="0"/>
          <c:showLeaderLines val="0"/>
        </c:dLbls>
        <c:firstSliceAng val="358"/>
        <c:holeSize val="37"/>
      </c:doughnutChart>
      <c:spPr>
        <a:noFill/>
        <a:ln>
          <a:solidFill>
            <a:schemeClr val="bg1">
              <a:alpha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84A7-43A3-BB24-9E8A5DAF3D9B}">
          <cx:tx>
            <cx:txData>
              <cx:f>_xlchart.v1.1</cx:f>
              <cx:v>Sum of Sale Price</cx:v>
            </cx:txData>
          </cx:tx>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noFill/>
            <a:ln>
              <a:noFill/>
            </a:ln>
          </cx:spPr>
        </cx:plotSurface>
        <cx:series layoutId="regionMap" uniqueId="{00000000-D5BF-4890-958A-BCF655AFBD79}">
          <cx:tx>
            <cx:txData>
              <cx:f>_xlchart.v5.5</cx:f>
              <cx:v>Sum of Sale Price</cx:v>
            </cx:txData>
          </cx:tx>
          <cx:dataId val="0"/>
          <cx:layoutPr>
            <cx:geography cultureLanguage="en-US" cultureRegion="IN" attribution="Powered by Bing">
              <cx:geoCache provider="{E9337A44-BEBE-4D9F-B70C-5C5E7DAFC167}">
                <cx:binary>1Hxnc9xIsu1fUejzA6e82djdiAt0N+iNKP8FQYkUTMFXFdyvv8mRWRJLme2dG/E0MTETbDQKicw6
aU5m9d8/Tn/7WN7d9M+mqqzt3z5O/3ieOdf+7Y8/7MfsrrqxB1X+sW9s88kdfGyqP5pPn/KPd3/c
9jdjXqd/EITZHx+zm97dTc//+XdYLb1rTpuPNy5v6it/188v7qwvnf3BtScvPbu5rfJ6k1vX5x8d
/sfzzV2Z5c+f3dUud/PLub37x/NHX3n+7I/1Qv/20GclyOX8LdxL1IFglGokBPrzH/z8WdnU6ZfL
Uh5gzJlUHOs//xFfH31+U8HtP5XmT1lubm/7O2vhXf78/7fbHgkOn54+f/ax8bW711YKivvH86P6
Nr95/iy3TfT5QtTcS310/udr/vFYz//8++oDePHVJw9MsdbSzy79myX+p77N+ptnl/3N7Z3Nvurl
vzcJ5geSc46VRp91rh+bRB9owRnmmn2+TL8++rNJfl2sp22zvn9lpP+5/K2MFPvipr9xX1X031uH
kAOhicCSkScBgw+4lkgAap4EzC/I87RZvt24skd8/FvZI8zBSf6F1uAHQmrwTpw+ZQ0Fl5EWgmny
9ZmfQfJTMZ42wpfbViYIX/xWJoiyG/Cq6U3/F/osig4k0ZQz9XQYEQdSIY4ll59RwR6b49dEetom
D+9dGSY6/K0Mc3jTzzc1hLu/LLjrA6wV1ow/jiDigDJEGGLqM2hWQf0X5HjaFN9uXNnh8PcCyMlN
X9+4G/MXWgKzA4kRI+w7UUMcYPBj4MXokzH9lyR62iYPbl1Z5eR/fit0nN3cZvP/QbpF6AGnClwT
/4IG/Bgs6oAopQWlXzLgVbr162I9bZ/1/Ssjnf1e6dbZDYT3G5u5/q8Ejz5gnCBFuX4qyEsAD1Ka
ki/5sAZv99mDfo71vyjT98zz4IXWtvm9wsulr4ubD191899nwhDzFSNKQyb8GDH8AKoTJqn+4szU
12d+tsfP5XjaFF/vW1nhMvyt3NiLm+LGOkjBvirlvzcEEQdcMS4E/lKSrOxBwU4aKnz9xYOt8PFL
Ej1tkge3rqzy4vcqS17eVHn57Pzm1v91ZsH4AGGBEVIAgIecijpgSCKCuPz6sM/A+DUhnrbEw3tX
pngJZMlvRKu8vCtv6vQvzYOxPIDYLrjGK0voA4Q0gIN/CR0rT/VLonzHHv96i7U54t/KHK+cA1b0
Lye5wGdpQjnwJJ9DOnqcdSl0AP6McqKeToh/WaqnrbO6fWWhV79XzvXmzrpn4R1gpvzqT/6CmAJB
g3NGFXmaWJEHWmLADeWf7bcq6H9Rpqet8+jmlW3e/P8d7Z/2sw/r+Uff+E/JenJwDwmBv4BC/5s7
o1CnKMS+2GwVX76Q6d+X5mlzfLntkeD/x8z891n7b72MDVTo2z+bIA+I+x9f/fP1oC+zuvVHdMtn
XR3d/uM51QTSqm+9lfs1HlUZjxjFf91wB8neP54rdUAR5RxJgghmigFcRoAtXKEHlMLHQoA3pMBj
AhdTN73LoDUjD6DqkZC2YSCcibiva2zj/7zEDuAOAUUPQpwCs6C/NZ0um3JOm/qbJr78/az21WWT
187CMwXUsO3n791Lek9lK0UxxgwgDzUWhzdtP968gM4WfB3/v24Qpa11ReM2wexlkbJl4+esPp6k
tJuhmHw8dNW7zFRTOEG1/C6XVXVKGPdd6OA/LK41FmdZw8ybIsvy83pYxBnWtUyOpsVlOrSkz3yY
90K8Icu4mHCsS3GamKwpQuO6+sjoWcSpGpY3morm09JI9yZbZFqHjBJ3IWQwXSKVlqG2KIhY15jd
iBQ5nvqBvPB27E6YrZvjGVvZhrp2R+kwy2mDSUDfBGIh7KR1tjgpSk1tmCtWvzR5sqAjk7PgBBXw
oIizYqijTAwiyniVvJqaoosrHvAToZvhfZe3rgyLQJk86uScv04mhV4lfB71ztMU1qbNhCJaFoEN
03IhtzpNyjIUWdUc93ZKd3wQ5nwhRc/Cwvr8FFWFZFHfaBtWjaw0PJv2V0HbGB1WPp+vdM6K3VDJ
+qxWzAwhMj4zIRl45S9SN/tPuMyDFwktkyks82S8aTGvcJgFyWBCG8zdeTYZPocdUlW7SyQLRJRm
g7myyzwfiZE3Oz/TPAvrzuShGQ3dtV42p5RbflRgnC6biiG6q2ShD4nnvQkn+ilzpezgtXgRhHXJ
+sMiMJ0PG428iiaHwLqZ18SEi6ry9zYrzNHMarmdHWp3VmJ5zRskdwOl/e3syjwHbSQ+9kFBP7YG
j++wG8Rx0BbpCc9scyXUTF6NrO7PDDcFj7IZyWDHW1QE28kPdRUaVqQ2koXgxz4V82FpJn3Rd3W7
7bip04g3rDqeh1qesroYj7lz6GrhrTyhRTBusfD8fZUN5cuq5u4aaNNsPGxIga7yJfBtqAhHJCz4
pM+hxsouWoGyPJRGuTPeK3rKO0mOEA7IHCZJ44+8XUgV1iOoVPXCVIc40MVVnvqRhkYP02ky2usK
Lcl73dfmODCMvZN9JU5kMJeHKekJqKnB+rz3oKiQy1rZsB063kS1Va2FRYogC0Vj5bLDyTjUobIL
PbKDTeeQCku2+Tz0L4JGLDs1F1s05sGGt937tq2STSKaatO5IXjdsX6Ket0co8kHO+mTZsNnduEM
CyfJ9a7SLguTnr1JsnxbeWJ3TSN7ES4yO2VIjbdl1X3EQd+dV6K/7vr2k85tEiXUbEvtXdi2NnIL
Gy+qLt1I3rIIF2IIKRG7Jhe+ukh4BbteSDmJ3UiIqTddZVWYs2kOXWOXeEKzdCErPD/uRReNiI7g
EKqMbvTiqlMlmdgCDIdXtWb1WYCyMuwxbeKSOe+vnEiSNExp2atwQUE2hmkwqfe+UKYOnXLBANs1
zT6aGnziBrwJmbYNWpw+VsuUZTH1oJxQ8jKYdrUaQUi4iaOwoalLAAmjD05H7vosGpU0tzmt/c7j
ItgpUXDYFm6KccVZjAaGtizt8BHu5RINI0JxlbIqD9MlSV5JUG3k3aDCseVmp1Jd9RuTjSQPUZl2
27pwfjcXxXLmeI6uVdEv7xXuBA1J3g8nFSHNEZWJuUyISnaoaPJPbT4mLgwMJ2W4ODTvxtlM25wG
4xQuRALg6eDftaxEh50RYxoOi8kP5yTvdr4xaRFWVpKzXiARUqPzQ92l/VtGeg7bYe43XTKmu6pt
3LZk9XCNSty/DUpvjmXVzd2GFFLG1ncO8JDay6JAfohoy/yHdKrLLSX6cEn5CTZmPnXIlG97ktqT
NJ0O/WKCa98O5qiolXkx5116ISxaLkhgqljVNb3s6tM2d0fVMMyXyOX5hkg6vNKaDjvbjjWJikl2
R4tpg3Nka9SeUNhNF2Pbl6dFBh4+Ml7jYzaW7xKt3TsZGPO6y31zBmo2V5VZ2HvHa2E2XY+mNurK
IblIMz+fZsPMipCki90U3tHtqJyOLFfkLKuWetmMic+3TPuTcl5YlC0D78JgWE76YFB5qEsw3TKa
clcu1XKdLI70UVKl5o3SE93O7eQuqozRY1lWiwh9ubSRFUVx25nMH+HBg5GqgOfXJUthl90/W+Y5
vXR1TnZpZeZDglvxEY/ZHIskBdenKjJHtC5rH5Z4chME0jo4lTZtupClZTyMEO7bvtvhAovdvJjx
RaYtT0MXpE2slDJHepnTOGFZG+VJUr4Jar+8ckyR04Ui8O9YduS4ZUnnozqj+ChF9NbOyGwQHs0H
nqnObJemaF9NeCjTkEHqUW9018vTqVXFGVF2VqEF38qz6obaOodtbIrzgvXpBW0tTcNkSVIaVqM2
70fwp0VkMkSD7ZzWzZVkCrujscuXlw2B5C2cmsofI9uL17Yzw6upwLe9b5olzhMbhDIt6YXUNr2T
3qW7WmSuDmcy0XC2jLGQjXraipKS10Uvx5cSXM1NMskcnC4ZChkqg2oWyoK3r+RclHclLU3kaVNu
qiwvwrZy+F1WECIO+6KjF65rx+0ETnRKA7VVDS+Ol5YPb3WSftCpPQRoqZNO6WJbkWEJhyA9rDt8
jRaw81w04/HcJee8FF2Iiq6IlB+Xo7poZ3JtegDJodc5P5nqQlwPtUnCwHoSF7V2RyorIOngi7Ef
2qI6b2YKhppJf0TagMddAcE07Pqg2JR5UW5qTsarNIE97WcEobWietdCTHnVzE25w0vfRKrG/WUp
2fTKtEuwEUbz0JS1iFpbsq1sePBSTXI7sTkPe0TU1Wh5dd6PKeR7NC/e4HkmR0Nf+W0/1O1t3Rcm
Ho2ttymkW4eTrPVbQav5IsGiuR0smXajXcYiHIWYr3uWd4e+cJCYEHvIUpSdZo2fd2bIuve6tsvJ
hBvxSS4BjtqEX7Skz0+qAMJ9TTr8Ya7noQnzQpEkmgZLs3AegvykrJKUQSZppk9JgsbTZS7SfDNV
gTifRQ+OZJyaD9XQk+0YWHWSJoGLx2rML8UMeRROE72TDpvdUsj2zCc6iOu8riKcMBF2drqtxGIv
87Y794q6Q4xau5lxAOmAy00oZ2FOO1ebcPbjKSSd+abQNbsoB1IeJi249QYFbNdSEyOZn84u+6DZ
fNtifSHT1O6qxjUjIDiXL5q2bWnUtQjvsi44AZ9Y+ZCURfay6sCvhs081XmERl9AGqG75UQKN+7o
7IIXCs0UvRvbRcnjIbFTLEWrwfZNyT5BktX4mNMKv4Yg1cXT6PCd5GPaHS9VB7lfr4y+HbzCeLf0
EI0sG8ZrXXK5YYtfzpANzgwu+AtIJufjQhdZSJE1p7bPNWRzvqhCVRX5HDUptkk49py+LA1ODyvr
LKSUOtmMrjihvBXn4BHclndpdSpSMvRhldL8bQt3nJIqmG0EeeZy3js1m7BFnXxXQmZ93fSkPwW8
cg+5l5t3fTcPVybo8jGcpVBnLMAOha2oF7JNIMPdKG9wv5lwXV4vWJBu245t+q42WXVKrVlQhCvC
z2kDGYoxHUlDSFYrEmapaC4NcVxEtrKJCC0f8yUyXZ8u23RBTRCapM3eIJPhk75tXRFmiAXHqYQU
g3l71JiyOh8QF+XG2eqMDEJeqRTqe0jAaC6joqqrWzXn+EPaenUmtJHvfIb9EXQsAx8KkZsmqtLM
ZFFSJ36KWAmE2qb2U70JmhZ322QZ1Us795kLe9PP20lJGUrXqB3reKyNLjeiaXuzCTKNo7lI+hi8
1s2QOxdq4ptNplgWl6qtoil3cUbSS9LxTx0e0sOkboKjqUhsZKrgCLXZIeP5+dKMOhxEW23KInXX
aOyDbY36PE54mWwMSmhUMhMH9yWGlNUhKGKJxmZXN5AbgiTHgtef0AwqydPgkIgJhWCIPIQS2YR5
qYONbrI3uh/LaMzSly5b5hCX6asA0o4QysFx1xfuAsr5OmpGdUaJ7TYVCg5p7qYdFCMfgoSeGl5s
6pyraNE5xAaUvncNOUkRlGbc9mTjvBSbZezm0DSZO5KmWrbViIeQi2TZJHlFN7QeXGSYBzmH2kZC
j000lv2uKskGldNNNXQb67NDp7ts07D6YvHSXI60arYiQ8sZYI/FLU30BkIPDsdx7mkIdRM9Lmqb
vkhaZWKWtDxKu8FvO+S9CVku+jBoa7pbKmsgKQ3mIZ4wT67mhOMkUqWZaRRor7pQlq4/FbMv8siX
oF/VlzI2UyDDhbLhkAUyee0x8W9tUbdFlGUlFCyFE/nJZGfZbhYyDFclKqpsK9JWvy5ZNd04miYn
ViwjP+yTNoSEhr9Nx9anWxdwXUR4gQLnGFGcvxBtOlVb4KuWw3ZCUwiBA71Ja1teO5S2Yxj0TKA4
MKU9llI6yEGV7cHlDe0bxtw1nWErIqdeOmf4CTgYE1Z5qw6nsrtZ2pyGnRjF1k1FpLnV2xaj4Y7M
PiOQnSJ1nnqqDqHGqh1Ari3fzUqJaCJzV4RNnwzvAVl5lPM278KqyuJKTCKeZgjVPIcSjmQ6PS4W
Mh06BSxBqDKstznp2xOcgs8HL4TG1yk35bum1HmcC+frbSWtfKUgcWFhKqpyCpOCmqOHg6yPuJuP
TTv3eZp9mRn+9uc/XzYV/PvnZOu/PrwfOf7XX2dfZ5V/+K34rrlvPNn1l+7Zt29r/WuG9p7y+jZQ
u+LQPk83f4dg++HFR+zbI47xK5l9T1FhDJTV98m3R8zmt+9/5t60hHY0lsC+USaE1ALGaT9zb0LB
eBQMNsNkmobqDnblN+6NygMkJXSMIA/TFAYPgLD7wr3BKJsAD6yVJJJhoWG08Ot7P7IfEI1f/n7I
vcE6EEPvGbp7MQMgAyWD0ZN7bu8h42aTKWlMrsVhhjeaX9gB+qnf3v8/WPf+eQ+YPE3yQdgS8jHH
szILFyB63mTgRD8PVH+ep/4Plr8nEh8sX0C5NI8TkDlZ3/X9i1EsKH2ZTkvz6cfiA+v5pFpWRKSu
FgOxOBFbTbhdrlpcaRRmtOA4RAxByGW0c8nuxw/7ng3A/A9fxoLtizGtxXayVNFQIZr2kDMJ9f7H
6wPt/uTLoMfrS92htgBec+txy84wHll1PaICidNZuXqKA7mAO6/mrn3x4wd+54UU7PSHL9Qq1A7y
/oFDqeV03GQ+8RGDIJRvf/yA+4We2LX3je2HD1D5MiLnKd9CAi/HYzHThEStsSQ75QaqnzPsjTdR
Z7t6lsBeMNztUJ0N/eGPn4/vVfeUAPeqfrD/Wglhj9uZb32aDl2kiIolxZ9aQzsIEF06DlXoZxmc
NmOKzdaTplF1GKSKVHD4YA+Aqfud+0CCMp2roeQjqAB4wYj2zSfIjPOfvN/3DLjyCg0gdVSz49t5
tvItgiIsTAZfXOwn+so3lKrIhaU93xqa53cIDruc1kFufLTf8ivf0AQjcIwZ59vSyeE1HjugEZNF
7ud51Moz9OVYtC2knlvXBMuyRVMw9BvRAiO5p/grb0CmFKu5LMAbNMwX0SzExMKuAyhtfqyf7/g2
sQJPpYeRFz6VcVXaLnkBLZTOv6bdotGxg+xbXkHUoOJzwvCfOmq18j2kmIO6sS1Upg2UPJc2h5m9
15Vzwacfv8x3dqpcuRqrkEfjxFW8NLgCQoYFfTjlxvY/scb9jn8C6HKlLN0YVnoyJ3ETqKXajT1u
h205zjjfdHnG9J6PWfkTyppEjW0gY+c8cYe1aGq0XWpcTltgGcdpP1zLldPomqFL6FSpuIVy9SXU
YdlFDY2/lz+2xfd0tfIao5kUHiHHiUkw5dvS9pKepmxuujeGKzP9RFXfs/j95w8cX6bS1ijZqrgv
2XwUVAu60Cnuy/DHL/G95enj5Zskn4FTXETsgVWcgPWa2DuxNO12v+VX7sMPsoETCkLEQwkWcGVa
bZkPIJXfb/mV8/DA/c/lXKiY2cGADWY1BUBtzvmy5wNWeDY64J0G2jTWuIJ2KTT66nHbF3IZL/d6
g/ss+aF5JZmpxQFUQdpm+WuprL2c8hQK4P2WXwFNQnELTRYuoeJlLj90C510CA3lEe0HMbGC2JTP
nQBOHUpcm7bsyAKtqsLCs/5nsfne8zzhkcQKZXNapKgawcRdMrf9pkiplJdVsECvEtpBldlOKZnr
t2Wl6Htfp2P9E0/+vZxHrIBXTmkim2UEV1iqsj3OAptAB2cxGtI65caCubB2xTJEeQasy85MSyo3
go20uR6QE35PBa8AOicikMoESVzJwG9oPspYyZL+ZH/ge6Q8pV7yeP/xwU15RzodUwSs83bByQDE
X7Is5WGrqZwvUls1n9qAjdUhW1TNzydKSX1GpFLFW2UI5z8R5TueSKywrGrg+JsxB3JGJpZGYtF3
7TSN3X5+VKyQXPZU4HkqZNwH7RinDrMSepQqvd0LaHyFY497oQqY4IjTdlLvOES3c5iYqPZzo/we
HA+CQEfTuggCqWNeQiUTeayqJfR5P9uf7LLvoOx+RPbhA2zezZxMvYrdPCbkSLG+Rx+mFgPiMpKh
Jqxz31YhWYBe+thWiyX7meV+Dufhg6GxXMIm6kUsVAIsetsRWwFDz4I9PThf+Y+FLTAlIXq59R3H
WzEP6WYRTbDZz+wrJyES6K0V3bRA3zV18VLLIhR9W/zEB30HEnyFfRhyzoIJUtW4IHkVEYeLTTI3
ZM9NtYI+VD2Nwjk06oCqrUOU4Td1yn6WSH5P9BWasWhrNpXpEqdydmd+rhGE5y7DxZ77ZgXnDHrB
Le3nJQ6SSh+RYTKbhCoW72VWtkIzbQfeOgOru4SwaKTShrbC+X6ysxWaVU0WNUgwa+BIFhnqB2Bp
JdvPj7IVlAsU9GhMYIqjw3m5sxoGcQbOlt2PNXMPmyfiBVvhtU54tiw4GOMx4HdQdpphx5xp69iN
Uuz5BivI0kEOdWGSESZBRP9Cu6bYYtaY/crx+5nAhx7H1ZAKjYsY4wbOdhwpzf2mmOs93Q1bQRa7
qkzUUvg4hTbtSV5W8qydyj1FXyEWAnViDKYu7poiwVHPCYxfwaxZtvmxcb8DWrYCLYexERMsQPO0
dT4dG5e6Uw8TCHuCagVZ4EeDAUNTedf7dLTXFAYJywsY5RLZfvuGrlBrcD506QDTRFMKvS3T8nez
nuufbPzv6IauQAtTd4YplQzbrsxwSKHxH3Za+z1FX4GWtgUjSaEG0HzwrieQ39V6SvYzK11hFuYH
+iCw4ovojHQw+jGIfUVfo5WrxEOjZtjqEUhjcr+63V8x9+Z4kPkYNLRJaWH1qdBZ5JW5b7+SYk+1
r9CaMa4aRBCszshdl7Nyl+bpnswWXaHVwE/eqDyFxfXiq7iUuofKS0z75Qb3TZSHipkczJ6Vsxm2
3CVjCKM+JMRt4vYLUXSF1SprSd1Q5LcwUlyHY5bf+WLB+2mdrHBql961TTb6bWUyFgrG3wUwgLLn
4iucooT3dM4Ct5UdjD3ZKb+xfrF7Lr6CaWf1VEAm7LcFTKSGosjL0PdE7rn6CqcSxmLTPNAguvb4
zEJ75DKB+an9WlRkhdPJM1IzWDleMPzgUrjUSvBN4AJl99szZAVV0k268m06xDOrauiX05bH7Ujc
x72CE1lhFecJ6Zupgsia2PJYFxZvrCnm7X6rk8dw8tBWp+nMfew0fY8LcmUZvdpv6TVS7VxU8wyz
THkWnIN7fDcTuSd9R1Y41XleSVxLFxdjpjY+4y8bkzT7GRSvcFobG/RaeR8HucujspCnknRov81+
f0Twof+CtvDY2knBkEo53eYzfkN4dbKXwvEKpSof0wDi9RzDstbB5K3NBIwb0nQ/14tXOB1SDucB
WO9i+FEJ9JY58AOhzRe8X6aBV0D1XUlQCRPtcdX0y6aZ5Icsb5M91b4CaaLyTg55D3Nmcz9HVdWC
6OZnndf7RZ4oDu6HBx7aVNeC5W1QuRhO2ugzZVN8VgZJ+2Y/s64gShxxPfxcG2zHLIHRtmp8K1W+
p0lXGF1Yo4skMz7u+UBDrKZ3Zacu95N7hVE2smnMKawdFPYl8/MZZ/Zsr6XhPNIjhTcjTHrDbJDb
oiQIoqBITvMF7ckPoBVCMW5bGPAkwRZ+6+mimuU71c/lfq4FrSAaZJCn9w3opMzqqyZtdgnMO+2n
kxU6WTvOdAJOfdssw2E/khPG94ugaAXMduYOhvagthNVeqqaKa77ZL82K1rBMi/dlHkPQrfVq2Xw
USFf76eNFSRLXfTtYsCILDMf+klfqUXs56fQCo++G8w0j8LFsy3wy2V2MArtqd3sJ/gKkbROYMw6
1y62AYwSkNoc6kS/3W/tFSJNmVsOp/sCmDqD7DZA4obBkb+9PCyccH+MSdjYXVciCMlZLiYYa2Qw
OanlsBdw2P1R1IcuVtlBOsaHYNuJ677ZKGCx99EJ0ytEZmnWsS6bXewVDHOM1LYhHHZ5ud/iK0yO
0H+f5zqxW5y1h2MJvf2OFm6vnQK/KvBYJb33yAQlLK5Kfkl9+zFnc7+nVla4hJ/4mhEcF7DbvqKX
HNaGk2/7rr2CJh5zSemEgTYmFJ16lRbHHZvEnlpZoTOD4fAS8lnYKBwOtiyoeFWKbK8Ei+kVNift
2Wg0IH+CofYiQgwOt20IZED5Xq4FDqg8Nmk7ViyBXo2LU9beBOPwBpoPr/baiuthLTj+iHpBQS/e
p3zTeZi+hdP4cq88Agihx4L32SCBj55A8Gm69A06noZuT4SqFUKLSiImM2pjZehZCQOHWxgqJ/tp
fD1f5dMeZi794GKY2r1iQRkVfbZXksLUGp88qOeUVjYmhJNorHAfYVZ82s+cK4DO0FGwqnIWBgzE
u9ROx7nk1/stvcLn1LvEKBL08YzLMSwb2e3qqthvMgJObz3eKQ0faz3A+E4MLaRlUy/NuaR2v7Y/
nMh6vLiHUztw9mHs4wbGX8rQ+j44CQY0v9hPMyt4jgEFrwgHKWIyzLcWMrjJqg97Lb0ecHIQeLIW
ztjGRqQvprY9QlW13z5czzYNiTKigIPT8TJ02Xb4X86uZFlOXNt+EREgCQFTyEwyT2cft2VPCNtV
lkASjWiE+Pq3skbX3KrrF0zLUUqOmq29t1bjBDkFuv1x7Lt3h7PeWDXaVY1lBtqeYv7FpL9LO+/n
5L+rKrZHMbkA/eClT2wpzRLPuU148zzwfs1dQ2ZfHPv+3SEFX3ttVRfbUtf0q5bsc9CrD8eG3h3R
FYhHzRPQCghZxusy2iiPFnbsqQ7yZ79udUFkXFtK8OEs+myWAETloP907Mt3Z1SuQ69sKMcyJjVz
543OnuVtqqU6dkknu3PKpBDpnGpsyTV4rQ35UA/HanGW7M6orkGEJhOGrnz2OoX1m4ryQ89QbI9Z
0qmvzLB4W9LKkDJIyfQaCVcfQvqyPV6TJCBmLTV2YhWCYuTtUFJ2EDDG+O6YmhWcwnWUtmyXPszD
JbkMThzrDoP18OtWnCybZ5ZhyhEeHxdPHnW8HjtDexRU5oSeG7DBywQk4zzZ/GNmISBxaJvvkU4Z
dkm4EmXLqFve0mh4suF08Lt3p9PWeJ3gLhjKkaef68i+ajUcKuIY3x3OamVGib6xJcfM5KDKu3zw
Jj0WD/dopIk2Q9B02YB3GzkUlqjXOciOpaB7KFIYos5q43AoRU0NGLdoVJznMODHJmYPRWrA/NyW
xuPcZN6Awsz5O7Dgt2MruociLQ2oeMDaDeWWWVJEI3vBTXrs9ZztYUhz0IKyvXbYLl3GQoVY69Uo
8zRb1KEeDl74fz2jgOeGGeQQMPdCuqRo0Twrq4oNx94RIOzz6/hezXNqTdWXaTCqAaITvfk5Z4k7
WDTG7NfxQYgNwVsM+tJKP56M4BDyGWV8ORQJ9oAjKIJAXGcJ+3LWnBQhB66covo9Fmf2ckeTBgJv
pG1fjiwRUx5tRH1T4EqLg+PvbtMVOkfWrZibTjagn0/m46qjY3devL9OSedMkMyY9zbtr34Mx4vT
nbwemvc93mihC/W9dn3ZVPH2OewqcYU5SK+OTcwecEQRJ2PisaxZWw0jJGdSCsJt1UHm4Nj3765V
PMapru0XzDwd3c3a9KMc9LHePNtDjkACJsAY275MwE+txfjq1PT+2HfvTquovKMaYi8l5BC+tp2D
iBMDC/zY4LujOqBlngaz6Utqm/RrgkeF66zMcnDL7G7WKQxWv9EYojucZDkH9CUPfJCcj307+TXM
WB/gjV5j9Hjxcx5H/YNqf4di+jsF/YeCZg8zGuoV8LqUdCWEuUQFYaG2QbBJ6lUVwmRCXU3v3fvZ
jPpGRxrwcpJyiD+A4pYMb9H/G+37LDH8qvAu2V0b1UL/IdE1mvFiHdLQ5RtrBvvRDSSYi9APrfrW
SRkMBUdiSU5RjF77OenndT5pSKT4guOVer3NQ5A2JUlWyW5V1zhfRCG6CX8EQPb6S0SbMTnRZMWY
TtfTdhFDJkew7cg2X6AGtG6ncTG0/bomjFVvJ8aD5vsYxcNQphvJltKu+HtP/bTF5yZcQIJvExKp
gvtEzFcRdSJ74mkLXlg4bOQ9FKBdvhBub3092q0MuyyFoJDRCzstlon4vCSOoYWt5cIKoXvTIZ/N
Ml+ktqYJpM1qGz26tmqym6bRxMoNs+2KmKrltm0BtELaJWQnFi4QQoEAQbW911HTJceyELYLmGZl
M1cQail5LMHQNwE0fGh27GjtkV6UVR6JpO5Lyc1fFVPvq6Q+9t17nNeCl5hVE3x3PFflmOkHMPyP
NQfpLkrGC5ApETpIJcky0NSDTEGfKOoOzskus7GhoFzh0a4UpGnyVQ0/eWOPJX10Fycb0Fsh4xZ2
5ezn/gUErfra0ckcC2V0Fyglr8O5JXwshVXsiSF/BfJ/nr4cCmV0FyitEcuy9EtXqlTMn2w6bGjm
t+l0cNp3kXJo6wk0kawrMzSV85g0T3ITx8hfbA/yCnGE4f3Sd6Xv+sqcutA15TqE9cEqZw/zito6
2gKKHcmFidczGSE1lSdBrIbTocnfQ70mM7gqkBOErZj+6Xr2EAfjMUYHJPF/vaP62dll8ElXyjAD
jmwak1UXNGvIz2PfvjuuEBLbINdG+lIP2ZbmSTdQvLFDru4YFoOR3Yl1faujcBVIEGBzl8+Ja851
XR9MEPZ4rz5xVQO9tw7diMkWQJRBOipwYXlscnZn1oWgSsd124HoqvUDp0s85Xyw/Bi+n+3RXhBH
EQAydQjD7Zw8yJaGX1HT+mOt4LvE7H++oiarGaDkgnwVraz1VjHoYCbhlBzc9Ls6hFANmbD77dTU
RhSjGyBcNBlzLODsIV+RjVboDKVdGfiW/iWBNv9rM7M5hvxke9BXTGjbQK6nL2OeLAEEYtuoCCvn
4t+8Hf4Lr47tgV+gm1YV12lbbjqi9kOv6qUrqqQl/cmNXfABhLOXIMh0c0IWp7JCZChGLzKI4+7Y
6u/xYeDp8nBukH86P8i0CEwDAQoj214fK6P3ADEe0g01yz0yVVNUPZoa6jWlH6DEeqw7tYeIbeFs
wXglbQn7nBrqsK5xELdVbDmYYEW7483HzdiW4Af8TABb3ubPQO//OBQ69igxPRk/ZfPWlr2FgNMq
6M9tio9++O5ki2GLxlElpkRue9FEPRAyHmsB/E2h/A8ougmCUEB9ElQXtkB7K2B4anDbu2OTskuX
J6mtiKApW1azTc/QU4LuZFwfvCr3ODEHPcW2xYqWtV2D76Zx9IcNcN0c+vY9UGxsWAuhrciUyLVe
Emhv6kH8Rsvlvt/+oVTc48TEindGbru2HFciH6K7pCwcTN2xSyzcX8CK1+miqCmpSjuRN2k6PMhk
buWxY7oHjLFs7ShvQ1MmcdsUQ5ZeFYv8sXtgDxmzfSugiFi3ZQbhZIj8GVYkU7O8/u81vWf2/zTx
u6w5c8ovLsL9rjc2IOUPR5GddRh1kFFDVdceyrHoHrsD9Y+q6iery80m31GoP5tEfv7ff8E/bx16
l5L6zzueLSGeBkHHAkOwqxoIRM7LX44Ox6QHYLr06/A1cuVWVq0usz6t0N0Z05vh8XzoSEE179fR
IYM9r5vFx1dCosaPCPSw1XosHNA9fifjW+LjEc2OCBKTHop8ePwtmrZtlmOV7h4amHpeQQ0ferbh
TKc+xzo094gZZt3pyOKycJdimaAehyWrEXJi8n6ewnciqg5NPQt3kRiaIVMaWnw7mqbxqbZ4odnm
qD10amEo8evCtogxgQLY8xwltnq3+KB/38r4GEkNYmm/jq7rNppDMur71Zq+9obG5QS5xUOTTvcQ
QcjQmrAy9y0Pbf28G9LXAHqoBydmF4tnP7V+9rUG8APKXAU4pcOXTcMB4OD4u2VNF1f1yGx1GUnu
T1D7DN924PO9O7If8Sby68R7XqPD5YbgJCKxdg9NGIUvhPTx/JsD9Xen5b/jMd0Dy2AmTlbOZ0Qz
yOabN0MUtfO1VstgLyjEZnKBlh4fT0Os1+4p8KgKnvqkgXsEiSi7zJxst4QFPs6zrZqhruAhwP0G
wvsrKcww+LrYhKy2713l6/nS9rhzizlu1h/UMPa49M304Gu5XGg1OwwBDQyZh6Zm2wcZgd/yqu46
FR/aGjr5kEFN2IZ/ta6QIZCfL00vA1ga1GysoQtadcuhRJLuAXHANQ7kTkg+iypqXhaoqj6RmkCM
/9ia7nZkBx33Dt1RVZI1/AvqtK9ZJN4eG/p+6/5HKola00P12KmSbsDZasJupBt/J6Rx/75/2iq7
i2+eAyO2cVXl0EOr42bHTbtT5oF6ODlUCOLGM67ll2N/ye4ajIYs5myJISzbB/zMlNOXrYcs7LHR
ya/zJH01o0aEJPPSMXkKqu3z1JDfzdN9sv9pnnZ3SBSKelZ2ViXXc/0eqGr2JpVi/QYF8+A3nc1/
+4ld0AmrLBGkhx77uFLFT3Ia7FDni0Wz/VY7MNp+U1T/y5LvUXOAJ4gZZjLiLOpJqcscr1C2bQJ9
rs2WkgKI7mNdJboH0QmJ3kllNSatJQGAbvwzAtHBnCrZddwCCI6gEdCqMsJz3ETdZaLRbwL0v6zE
HkSXUGA5N3BwT0oMyXTL9BhfujTDuz8Xiw4PoQtocv/1/zjXMcbmdZ0EkOmAkCC47uKPDDYlxwJS
sjvYo8+Guva2KZMkni7AXKd5JaNjxQrdA+mWGq1IOkeyrFkKHfTFm1Oa1YfqOJrsDnLI+0jrBELU
0VI/QIs6Zx0/OOe7Yww9dT12E4beNnausuFianKoPqR7DJ2HEFo9Zgry2TV5TOLgceDHunh0j6ED
rPAuhFtXp75xw0MzjlMZxPT9obC5h9BVcSIXTwNs9kiMZ7hNsNxnml2Ojb47pWGmbBWHQV0m9dg/
AvX6eRD+mDgs3WPoBE9EsJC5LrUn+jJnU3sNB30Mikr3MLrAQ7SbGYii100znHqZPgWJHc/H5mV3
PNcmHOaRdtlpMqxeL4S4j9BVh/XIseF3N63ssmmA7wtk5pfhRemubGx37BLfQ+m8XFdhBBIpPc11
3s5tWGw6/k3kvf/5/3DN7pF0C9D5Gxh+OEQjTCGAGit6DkXhY5Oyu2A3iPSMy9TXYC0ZX7Sih8tK
ZdvsGCANgtS/BvTMeHAuVJyBaNVtJE91ZR+7VdXHeJB0j6abeVu1yQDvAOM2vNm+AgXwm5n5u1X7
D/O+x9IxvkUQpxKyjHxAl8ewNjBDAUrSRx+glNSVdZxtNE+GxcRnju6aKwZIvi9QyOy5vwxzFg7n
rY8E+WaSmCxllcIa4VAHnrLdPamziW40jcdznaz2ElcTNIUD+Kkc2hR7hR/qCN20msYzdUYCZTF9
AKVyPTb4HkC4BkMEyZDpXunZSdxqGqbzWY5wVjkd+vo9grCt64mnkUxOq5UcsdU3M+zxYOlKj5VN
ewihndS8LVU/n+dO9meTMnfqM3aoSQ5vxV8PDLLNmPYUrjPRXbLMxQNI5iw5BA2HJ+evg/fJwsZq
wuDwZVK5HtmQd5ocgyfCFPLX0ZmcQeSf2/lMmqgvKKxUcvT3vh9b1V2g6lQKq2RaTeeFSPiwBAG4
ZysLj90Ne/ygAEwWBid0OncABeWdsuJFJ3T6dOjb9/BB5mB3E/FhOgew/imY2gSc7uJjE7OXK6ut
izq8IU9nyGuSt61Z1XcebsmxDG6PHdxi6YZpXsZz23JdQHQbYjasOibYQvdiX7MbIJmV+PHsk2jL
VahskaiDuQrbbfZYzTygAz59M5BrcZP/GVoY7R1b0t1eD7beDJWm81mAPXPKnJQFgtqxx3u6x35t
oEFU9YLEKunJ99HQ90aSY/Rquod+SYPeYwdTu3Md2jBfe1Kdqwowuv89L/9SJu7RXzqCzZDqaHrh
lY6Xt3I2tbl4TmAww2yPW/B//8y/5ER7JFi10IpFDf4I2A4Hp4XEomjX+RgSjO71vnpZJdPEMboQ
bX2CKyLgH53/89in765u1eBMAc9oz/3a+6I2Q3MaTXXs9tgjwbKehZOJY3te1LxcjExJDgHj7dj1
sUeCeYNyY7POnmFeBJe1UX3cYJd1cEl3x3WThm0dej3nPpVJAR+apgAk9RjsH6/6v95NbQJDziSt
+nNgAls0W9/mtIcP17E13V1OFWPawiO0P9fTIIstNrpIoVx/LKHZY8DmyKPlbEV6aZp2+7CF/fqp
CdvfScn/y1Hao8Aq6lw0A6x8jm0EPsr91u5J9Lse4b+Nvqt14XCDdrWHQxsL0Dpfgh+dbj8cmvQ9
+ktFJKrgn5FcoPNVaViBAp04yXX849jwu3Ma6Y52W2gzOPaaFgDcZuXyiUe6TY+d1b3cVz+mM1Lh
PrtkY5Q3GXnQ4cF0Zg/+ghDXMHmCoQ3D9XfHQ7THAIl0j/yCP0NdyWTI4OQF6SPlIlYwmbpj1yrZ
HdMm1HLafMdOUOG6trZ/G/JjaoJ0D/sKY4CKqDEMvnEOlpMBPJXr10Nb5b8gX5ARkpa27ETgDhyV
rNfgXUtn5o/Hxt+9SrZ9NDR67pIL66IVEupsZA93qt7v9ATvh/EfKt09nqsOVM9SV3F44wbjdarg
x/gywlxOwGVwgBe6MJuTz9NW/T+K67/rvX/6Uf5rRE48qdqlGTRqv9W1awFPcE36s1I4dfoiqxVG
kENnYFcD198Bd/vaeNsmt073sCa/oLBulMn1phZ/k5UPqm+UOsDuWngvdyqnjd+cy5Hk9MOT4lHa
Py9j5SJ+WwOWDCq3mxbwtgxpVsOx1U5Jj0So41i6u+dkJ771Vpo5yplKanOjm4Lc88mjoE/EyQ+L
swU865r1PSTk3FLnsYLFD2S+fb2ObR5lc8Bh1ekhDa+uUa84pO8NepaTycErgOcwFFCTrv3YE4Nq
oEma9KfpDf6zhS39cuKA+8JVDzOkimWBpXK5+XmF65IKYTj7De6oYTLDNTCCZW0ep1zIL23NVPbD
iBlGPyBybp01OdS+Gv/HHaR37Tfj17yFaNRYOFePkTolIE5W5w1PNuQckGodiwr+zE1WLNz52Jxg
8BqHj1G68OxSx/NmwAsbOn+FS0BbwHdz4c+wSK7TU1hTRwuZwOq6XVOTnmDb3tb5Ogg+tMBvNp0U
pylD0ZwU6JCsosOXDa2FOy3hCXgjC1wWWYK0EbGEww0Xq9XBOtGmyOzyLAq0Oc2mJV+HyfCT89ua
/JjrzcNd1XYxvOktSfknOZAkeaFTRenTVsl0Fie9gaPCLpmbIygibDyZ9TMYGinWq69hdNoWItwy
GBOHUDVGNmbCblNXz+nqvg9wge9E0S1oBt8SMJCyD9GawGOw0O3dFl6kwV0GUs+6dQFYLBtAW1DQ
SWa4HsJuFUn2jcRopJEbV20qcwUjwQtXEvaOfHXGoiXhg3G5Z5bL+BjOozo7ixj1wjsxNx/WlYg2
xXboyHxp4Gy/wnZUMgKVWOn1CXWNTL+kE227x2zd0ASScTivFl7cE5r5eZbGCUEGNU2UUlgNUtq8
Rgq+7hcIrKj1sSUuQlc7nKCttuGZeVoEuFuhH/kEJCeHyFqo5+9EB+DM2CVh/fskNlF6ktUYN99R
+6RwRgZkqltOI2xXxxc1h4J/ADxrMJfGJ6AJZV3YxQ9bHBD1FEmntj/rVnczGDM26NjLgEMrz20v
YbPbm6gZPsvApCFBeFOCx3liWNa/hLBRjL6zpqpS2NTDYlyUzi1L/ABnTtb90Tju4wKa9yHY6MLR
KIO0M2xJf1STE0rkalDp95jyof8MdvkmC7wu4e4Cz6Pzz0D1jSn+5y5gP7rGLtvNkN77DzBOjWDL
C/Ns86Nh2OZXocj2MmWhuIRkSJs3qYXP5jlM616+g9H1ur11IHiQAC/R0A1IT3clYn4b3dS2PxVe
buRjwwfqy65rdFUOJIvs4zxkCVy/GWXkS8oJy/6MnKpeQCEPHvCMtP0AtcXkjYvFSUAgKDit9Za6
B3hILNsV4kH0D1g4suzUazAdXxMvdfsCi986urmunv05GGSzXjNvQ14mfFXh55BXqnonh0z0RQ8z
XWgiNiHchPPMcBj5LdsY22e4lk/hjfa81x9h3FF1b+Y4S+QllKpLTvCtXBA7XZxaeQF+OrLPQ7bw
HxqaAG1Roe/m3sg1tAglslvdmcfdZMUpxGvV8qgaCBxfKjH3oNcEySI+yHTM2M3ADpjnUxVY/l3K
rOkL2G0qmM7CwrkK4T3E6HobNVx2T5MjYQDP2ZZEMNzdXP+Fwqc0W05xKCLIGa74ijoQo82bNYBX
c3uX5MkhaLepl8GBmHaOe+u+ktA7Dns10UKXE1YQ/BnpkvirwhGGea2WxBTcuLj77Af4M0LgyBhI
nsFTftvqm5vAkv3g4U9nq1wOU7Ii3m+96zrYkOKahslxopbxh5sXGn+CBYfFhaCgVpO90xjlvpD9
NNszTBzx0nluHTFxDu5nG5c6izJ1XhZBtc9FNKXbo1tHga7FCmep7BpWHjkimGxS3ka4rAX5Zus6
eM9jBfNXyfgcnMZwibJT4ret+WTDjTbXZdpcVs6mC6rT4EjlnyjMu96G0djU79FFJv5uUKun7ALV
eDE9ZAoVzItHXwluu6rGfTdVVTwA583k+gQP0UYV3WajqWC9TQLwFuxYwaM4xA6K3k2hMiBjtGya
3tZrmJBrhyfj5qWD0h1cS+FGDwMd6Irng7NZdItoNk5v4nEI2m+kXlP9BDNzGKHnrTRa/kl1umEn
GEi2jedOpPUCy/dtbc6xUWz8yGGoXT2Mom7oDSRarp9neChHSCPmUPMTrJJo9dcGqWRomo+yia9j
VwsBbDMYWNgjKXSUHmQz+f4K03EKzDABhjg8jz1cD/Nl8i15j99MPy2RnNavGqLx4KRnRHasGCC/
KIoA8Qke3VW/vm8In+g1zeBNncdtC7AqrLjToPD9PMFSznZuBYFkSaICDwqpfIvPjeM3q/OivgYt
YXg5qisVzB+M2br2AdBduSErarf1B26NEcbbYx2G0ev9pYaGBZVDsj1vYcbMiEi8+eqWNlh6CM1y
GI49OQTk4Q3cL0Z7CyeZTdd14ll8v7lXCU0AgWkcx3zKcMpD6NWJbRYFrKa9f6XZqrMcRmYpvyTM
IL7lirrGvgmnKIWNrR171uR6Wtb45hkN1xeG3S//aMYVFjT4I2lXvYG/dOPepQqT+LCRxq6nls7x
dMX9H/RwzZ2IWc5uSxI4x8dq6jYsphXLZXEqMB+TyE/m7YI5Wx6GBvjBN81Sy7pgjezGP9Y+IfEX
QxKfmhwKYWHbY6aoFn/CgjgK30K1nmXfOiivqK+DHhRBfQVBRFqYBm7LV5NMsJYulAxT3uVDMHtc
hXrF9YFsD5KxPIiX5DRCpKHzgI0mwXeoyntWhLjUm9s2D+pDMmN/n1XoNC/qdcP7i0la9jkmwEUU
1KdVU6AWZQkcEbtkLolOYthE0zU0w0svBwnKcQT5zkufNbp7pqZ3gc45GFjfmm6A4XMc1Wx5E8GA
Gvq7eGfNPrC0dfKyaDjlvB2IpH+kI1xeTiOr0ApI62CCCXzbV8kltI0jb/D+RNt3WiXwmo+adugQ
MBnOBmDxAKqlpYKIqn2ujM76tUgZE289kC9BsfLaLO/gZD+AEA3eK3EFZAwrVSRZVPdv1IgeUy6N
0MOZevBq9QUUteicVrRtTzasCFailjp6ZnN/d3Ll4z35SYH2laLI0iUmJzMPYTTnalv95wbWz12c
bwasxQ89yG30kxh592TbGRlXIUUTFFEDVThfILoveeI4nT6TGbIHV8Fdj/s+WUOk6RQE3n7KPWXB
dKvxCeHr3LVTUpCYDyfl5dzCRRpH/UscWrdcSKJ0BGcSC8mziNU0PVENHGk+0mi7ZLiMHJzH46oZ
X2ZAp7K2MNwk+kmNlX+T+rsB6mY3+jimqQrPKRxsVlyjSDlOdmMI+04vgbgp3sbTh1lX0fKutXNU
4KFhIF+9rtxSVE6yK9I1uGYqsGg6vLrldm3kVU49hDUYeNW4bGmxbVPW5x3MkPhpsiG5CuQDn51J
6KOAlJLJedYMYyEjwgU0W3uSdx1r+EPqhP+Tgf3TPBMcHVNuzbhlz0NA7NvQQeIVJRCdngRPyYbc
KWL27RL0QJJPawJbcKGe8SgCsjbMSynUyEFDfvY2JR87F4izIg2Hs7VZp8dF6eyNcFDQPyls4yJe
Z1cQWdVXxlj2NHPhH0S06q9eLM37jGpb1CF/1bE1H+Mma7NchP0I2MmsYVKfr2GduTEXyHb9xcM9
zl/5QsQnHq39w9T4NDthO/PCbPO2XlrbxA8e8EX20QVp8l5oB9TCiUxtElwrkyxO5xV2bgqavJfh
n/VU+eljHHPu86U2awooZ7Q4f6rvegA37dcNsimpjXwPZ91hGAnqmJp2zUnwJQoeloiBjQ1aqQsf
rIyq7GUM1nG6LOD5h582rgkvMs+W6XFmfSy+InM1wzmeSECufd3X7KlZFw2zV9EuOndRb9NPdNZ9
+GagM+3PkGnwLSQJRi5vXbBk+ksg4SXcFLGv4/oUjo2c8jmukYpmMHuvC6uRo7i8ogGlOvexn+sf
axrT4WlZu2X7DlMqh3RITmmM3a1xtuI+b0AYas5Q0alIaVNdN69rhNr/3LWMmsuUIO7ACx5+bLfh
Dr87D4kh9A1INU38CPwsjU5RtsbZLQJtav1Zgx9g3szjlPZh4TOxyIdxGGnIcwiKpHhj3Bqi/StK
44SgCgZkc3scRz0iLsg2cdFzb3Ak3ysUq+6LilV2Yx3emehoXPIlGqkKvsKcfkSZvHYxTBDRhJYF
dgeSpbyaF0T30c7raTHCpp85OP3Tp9Qhtv8xjkNGmlOcDAHuq6qNg+U9d1uzijwgJKH5NFXWFFlF
NXkZt3T1Pxno/vpPW4PNdk4bOAm+81quGQQH4s6+hcdzrNZzu0DdtczqgHRvOU4ZImJI7ZAiPMk1
QbNQtqA1XxsaSnelSqrQnNhmkQLkmnMuIAPfof5AxtcMhV/6ey4CG5fJvTaTtcKVmRLKftJj0C2X
rgmm7DaO2RxjxbbM2dNA9Lp8VVkMLhKXKhu/Tk4Ny6UXoQmKTM3RYz2IihcDXpOnJ980TGBJkhpk
wBFd9sL2y4CkdOCQk/k0b1DJBUF6qJ46QYbSVWv6bqDET8gO4m3r33itdW5h15mDFAaHeviLpU13
8S6NfSHgcDrfNjqiQJPZnOTj5Lqgz6d5cuNrErlE/lxgbZKeNxWG8sTd/V7NxQiPiWuFNPuphjQX
dh2NDH2oGlimPvbCd5+zFJNwotPEIp2HNXADn0a9NQGyVB8G5bphX5fIA6LkYcIV0HxzjtYlSoAo
+9JB4jyRRZyJsH7XL7GUkISODK/nHJsspkWKqOpRzQUgzm2JjOqXtHHhVlgc+I8qis1ZVzVvcdSq
+aEL0cF4Rr+Cxm/TduXqwS02+45OzB9IPSbCYanCAQHv4BFD3rVEVF+hZ9HUJ2EQFOvGqudpCpGZ
bRAYcTedpLLoNw/DEeD/w2udWKqfh4mO+tlW8/g4933XfINB9PRXMKhxPK1zgGVka/JJzez+uKNS
3O0rc584conpJLYBuTpwTdOaa5eYC8jKGc+b3gnkBniqXGB2l67o1yISjujvTM2LAx0BDozpvdMD
4rf9pJCM5SQGAv2GVno2PtEhHYK3NAGID6CgpBXLbeFCTBqLMvtwBKO7aurzGtK0Sc5NyutXMcAb
/hyB5jD8XBeiliKQ6Fx9hVYDDGptnI7s3EriCbZmTd7bGvVI6dtmzEmDANrny2zhYifILH+ksRnJ
J+pmuRTejBGqnYTpZc2bJdXBl7qOqu/pPTW5pitY5h897/+alJ4Y0t1siJDMGqbmawZPkLTIuDV/
dTGObJ7CsqOALUjIzjpj6d/NP0U3TIJPz9C3rBhKGZiqX9b/4+y7mizHzSz/ikLPgxmSIABiYqSI
pbk+vamsemFkVWbTwtAT/PV7bku7o66dljY61A/qzsxrSeDDsYFYxJstiIT/uJI5kEEiFZKRBouI
ghRDiVpOjBvzo21X6mOdC8tavyKpTdZJ0JcLPdRj6D5wdC62c98G+acq200y9H+7Obiocgm7F5J7
nH36qMxgHzhalkBG6oJdpOkbrB1e6ZKg8Lvlvpe5sLAagVsKC1549xXhHGg2Rg/vzBYEiu7k3PMg
XcfNo9nM52GOWzWtT8hE9sMvtpfzAyHh8CXKhf8CAcW47U0Ot8iBGByM11atc8bDCIG+Wz3bL/jM
m7P2G8jaeI0CbmSchOZoSim7hFmtltiSvHmDU3eNOwaXj7Xhws/9asm94Mt6w+VWRjuTI3oha5lb
9x1qJfa+bb1jiJpkrHmaDq+lLJi7s4WBe3iekfcTs27Kx6dlQsTrNwSI4HA2uCUs3wANUxHz2eFz
CJa6xrIgqU8NJg4B/3HkjS/lyjEkUkAJRYEpo2YE8bBiI2kPGTzLWFQAN1lQr46eEtFv1T6wnn1F
/HrdPAaRgQl8RQPDY4UXEtNq9u2UYNl24xL3wMbonW1KESbU4uW8GJMvZld3eV0mQSjs8v2qdT0a
3Sp1XoXYWjxHQ4bHxg+X9o4WYsHA5iq6iyJLzAESSrE8AIrWGZYJrXc9Y/WQBuXc+pDLoRg2M4uH
RQT5GCd8F4AjcsuMxXF7gWh5dm58HEhZz4lmk9+eCJnVtkf82PZBGGqT4hbVkOdiMytunzzCx9Es
XtbIcEq6blxO1PgYOMtKn50t2SPUyx0cAsh3BM6BoAYaivyNbJCT7yI4ZNwLcKZ1xkY0eP7HGPVF
INCB02yAB4Z2svqowVBU38qtG1SCbwqG96gpMZljxWxnlZRdbpFfjvAieYOItEgkcuF2Oq4m7KK9
QC03qlHzmUdVTBhiD3eLpNebkNRzUaBdscOJCYtPk9bbIJfjCFOGjAOzji1uY/BdnxP2zvxo+9Er
0hmJ2h6UmCoI/VcTYkJL50X2ZSLCmcPrM3LXvFYcMTWph7z56q0FoBHGSk9l+eKtG1aPghDun7jw
FUuUDNogNUDD5sToGdBWDBPUWqQ1XGjeXWi7PnpAIUg1xw4p0DabXM5M7IItxAQjrT/+ID1aFWIG
q4d8QJfNLPals4v4wfGmli8DBlR+YYPfiiRsRRPct8XiITTZ4lBQVoNSjw4G/mYX1IOnXMxgtp8B
YJZ6K3BQHwE54KJeMRSiNj3v0HUth/ymNF61Hf3QW/WNtMBpY27pgrx0W/afHqNVeRtsuYa4J/ca
fZiimQT3MNgJjnuqp9sC/kc7u0N/49LvIBezKgGrwqbvelEDQUHiNkZH0gJOefNadf2GOA4+qd9L
W8O1iAOYup2AHzYJ/BXjMMXIYvGDs8cDhsMlG4k+VNBZzN+XwMkhzTnPx/2C9XpJe2Ztk7WURl0a
oJFmbOKuV67c4TTYynMeIn4N4sv2Wg+GtjST1mUl11M+eiJK4BMpJEuRxODhhqpyBT4bVKgpTnxe
6YaZZbThASCBAVvfYbaLgcP6TQxn4VanHS6Ddheuk999ioo1LcHZwQ9Hir5bhJj8YhvVws/VgCEb
sZkqzIlhQtpe7nlgA7ceGz+i0Ssyo9V4WXC0Xy3eeBXWIWaQlZo7Jqp2/ULwbiSJS3+kZtpd06xx
IJ2jbQ5vp+sJ+pwT06wYvqCXRcCUy4vizil/wGGlnyjHDR42wKxEAq6F4bTqDUrqH5XD6RoCOSeU
99mPM+kwDAiGA5MZYbed0VZj+tMgzRTdMSweBUbFqN4+mhJsxLe6XkyzC4tQkwWfrqUaXcy8rx5C
jPu4lwMpQrazGI26z9KGbIni0ZdIa15EOEXPPvC5CvUvwP/H77IPp+bVksmQe1OA8HmYrwdVJBa4
qA0SMXfINYZtzvbtsVTgvXCRhJbueoGDD8/Qozh1ZzgAC7YkGzgkg5Nu1YtKpB7jY3ReLJikC6br
iF8wFoXDk27rpj+Jgi7mSCZ0pX+jnpd7Cb/ObLvJKDLFrQgWcjEe0qkeyDRMFdY4xNAnEpOxztyk
ov62GkYYXRTzxPy8tdAFJpE3gOSpaKsRMdMXZPwR8cHmz3QZsPhr9BvU83YiG+q7MbIi17A9Lrag
DvMUKq4TX6zjdHBGS3rogbIv+7bhm/cKVJGxU9WACUyspyAAyGA89fooxbW5Adu6Impk1/VBMCWU
q5rEuOduuB1cCK6RIR5j5/mQVne7ivjge7gGxePiFhVrUey61bK0LwULD+M6ye1gw5V4GpFuwTJJ
YHoFutLMJP36wvx+GF7ZgFT1T1GEk7pgsK3ErmXlJJ+WBdRM2hZRXcCdCEHafaV1y8950ermaYnw
wZxdEDXDyZtQqXMz47UGaDR3G7uvJ6GK01r3snnBQa/K58SbMC13aW0iBdg6REZb5SUTbmZLEmR/
cGdT8IAikrsGcsBrhLH4igRDb/ATKRGAqTIFKmiYjhjAenywo6htf499WgN4hhgHVBpmN+meKD52
mKskK5vtBexJvu5m3Mk7uW3igkM0J+eA5BKDHfeQXhdcabwo2Hs153bf1KJjl601sOj6gTPj16Wa
JEIrmgnRIbuxsKsrY3/hTIDjDCC68rohmhMOYGP4pmZE1t8bxC4Mwe4a9eoD01gZyt2jfpNznUi1
LE3qVH9tlBsHfsv6PNTHEOby5dBpO9G0mJ3Vl2BATg0gUg98q3G9mHYVQHw/JoPvkx04yrFK26iQ
OHbabrCYkKiq6Psq0CJ/zreiXh8RyRCOwN7LvN8+qGa0+G4b47VHj8LqePSA+nY3sJf343OLSGrM
NpqF68UPyeB+cR2r7cW5ggwA+NYgSjaJcSQGvjyBW6mGAWK/bgxvJk8NSzI6FIcee7yEOp22IGgS
aOM5OPMwvGpU52gnIQ++bWc0A794S1MMN/24+fokUHu3Xb9tkcPrIEeHZvhBhPV3wHyEpjWLiB0Q
1orzTDJoXO0qw2TdYIPEQno95i+9Xe4k6WeaOEL8HjdL1PWwS1h2/QSlBVyFSaJn8m4Qc0vgS69E
9TFd98cPMcFnj3gDVhw7I50fe1jv2ifa98GIe69gqhtjGw0w+gNiQlGUKL3KS2nACOQ1tOjy26AU
47LDMoosxLnV1fw51qtdL2YTin3p14mHOLx09XRyTmzrl0goO99dMxzpYVBTHiuE3XQxptHiCpbb
dcaeCwLzPnJOitNQwmlwC6JEIYMBs/EGaKtrgFoxFFeGbHyHcbWLYhiLgiVbuW2A2vVd+QiZhI+J
aEYp82MNZSP2RXRsILtRzlEuX4X1JOTa2gOfNe913ndmjCv4/cLYRNAR0ATcdz99AkgqAN4CsPHG
d6AVW0ViPmJ8rWOGVXYEhtgauD1ihNTj3LlbYQ9FOZBeQ15+hcPaTX08LSix6fZqHllVJ0uH/HDM
oR5fmZ/2tISUI/23oR8Rz0tYtAdTRcfEgyJoiEk0dnmCoGT6QvHX5DwvZWGPsrxivwWO36u9rplh
fmeCoc+AFmwTlMokJ8d/y6fVW90QtgcEda9r6vHaTPHmSnYHwkpPKc9h/v5jCqafk4W4C7Uyemgz
T77V4TOf/5hC/edAIdbSGXQNHpdWjxFAi4r9QQvNz3FCBmmNMq+E2GGb9AAiydm7GbBaD//Cw/s7
gVWgDH6r9AEUFoxQpIGZILj/utJU41ktxCADcegtAKdgrlELIGQX3K8DoFscsGriJYas+J7+uYTq
qir6n9RGPwnLClA0a0V6sTNoM23TCs6QG4gHuwTzGuhHcHHRv0ga+D0x1U9a0L4bcKlBU7xDIEAn
nkZn8im1BebcdMHOhHRSJJK0mEpXp//FJ/w7Isuf04lq6MOwmwRsxyN0coyInck6YM3/4g393qP/
pD6zaPQbRCkZlCPqe9P7r0tk8z8mnPV+kodiTO+ULXK2c6j9iMveHauppX/wwX9SmI2+P2ozcbYD
Bp2BSK3i3Afy+M8vqN/7VH6Sh+brXI1MVnxXeGTAnj7nsV9i9/9jj3591n/wQQeNpVAH4XMJNoVs
3lGiZXIzT//8wX/nCvXobx+c975a7FrjcimFDD4GYEpL4nEXoFcoCpSN7QQ19gFOIWb/UD0f/TnP
poyKRSBGiO1Qh8q+hF0/3NY+4NV//oZ+XVz/h7v75zQbUTsKWKgIdyqSJRBoqd0CcgX/+3T+yF9D
TN74Lzr0Nd9Xtn6ut+rZx5XGDvlQTSXOKkWZoZ3xY50pqpvjUWAk+9ur+48f638Wn+b+b69j+Ot/
4d9/GIvDflGOP/3rX5+Nwj//df2b//s7v/2Lv+4/ze27+hx+/qXf/A0e9+/Pm76P77/5lwxz+ege
ps/ePX4OUzv++vh4hdff/P/94Z8+f32UZ2c///Ln9w9V6RSHnr76Mf757z86fvzlzz672q7/4x+f
4O8/vb6Dv/z5f+mPsn//033//vE5lP/vX36+D+Nf/hyF/y44NERMssCHNf7qGVk+rz8RHD8BDsF9
SSP09ly1oxrVpyWeWv67z3kkoMRC8Pc1J2Aw068/CP4dsA2O/Hg4HgZYC//Py/vNN/Tf39if9KTu
TaXHAY96Xaz/+4IS4fUpAJX7UqLMOWI/+505QvtmHzEEu34qluGpnKLoeRNE25QZye9QJxYNKfFx
/tLeanZwX9TwAKMX7R8+tr+/rn98HVfy6adXgpeBA48ExUBDTqNfX+k/rAiodOEVcTLIDPL5XpvI
TYBLZH6cC7TeoIRNXhBvE2+4p1QOxM+a6RC1kmR+vbID/lO1I35j9qYp1TdWQi2nSyCM4KOqCi0I
Obv3RihIUPUbpJDrT7dlXYFarjvWZCFORg/lgHm6Ql7MMcJhPSEd2QCWFm2ekb5ZUsqEy3QBnhwT
2fLmAxDFEYkzDV7AyTMHceZiGUDOWuP3XQxFjn/sc76+G2hfkqkOb3FiIAeYbVgbb8NI36HYbm8Y
hWM4hnEbubrIsjuvfEwqQG/fKR23D7/p2bPERbCHInY+jc0y3FcQFNRxXTYVSKbFfIftYzhOfO7v
ynD0T57xg5RDHbrjMhzvgQfnaagDl3k1PbXGHjAmQG8E1voFSqW2AzIEm0iI1erNn3IJ8aYXvJRo
kNhNmLCPtaZ5vM00uHRlQXb4FW+/ipynZin7wxB68lIQuhzn6DriunaHKjeXoilyOkOBVwHpCYvM
Lp3NxATnVDJ1mu6cWFiWgzqAu4yPz6zzbCorQ1NRdOUT9KbsTWxRjgULoy6FqvhgB7rhrXX3W+Nc
rDhZbgrV1M8T6hy+LAu4wRrHy0MQhl7cm6DKOvSwJnTr549O1VHGVaMfQtSSYI/kZLpB60Z/qgoa
pj7gUgi0b8KyO0SanKOuxJ63EghJPXGHyvXSxV5T+MnmAU1XOgB6C6RdNFruGyTnxsPAr8d51x54
SVKdb00y4Og28OEesTE8bkucecQE+y9EsdWBzgiqQaIdZDJNM75VNfpF9DAaAEXFmDhNyHexdWsW
zRodYQzSv2vUHlg9AofZVURrwRtf/x//KHCS2AN8K75soN/RU+rP7qYIF9DgpfEfPHA295Oa1zvP
ki3pACelywZTA2C0O+jhQJqradvbYhwf2pbxfduG20M45mDON1IligImnXEOum9cpe8w9xYZDSqW
QbrCj1AjhwkrOwhCtBckaB21BwMj6GurKcW3KToIGBsIYKX6heIsk/mLVM9QQQN3wxE4xWMgQars
+GFeYeBaISY6GjZGe62LIKPaSSSIKVEkikiZ9YUXJStkaGlf0OrQg+LKmsJ5K5ITDZg6KH/ZbqKQ
NWGJ4LjXBqTpELuCA9fKqUONvfDkSpHHE135HVSK9HFeMRXo4Xa127aXs2E3kQndvm71nAJF92+K
qLyTWGSyIArvvEklbQmJW+Hp6Tz7tPrhTF/+oop1SmSLod5HctbFQThxtwnavRVY9Q+QPvBTj3jx
G72E43HTM9sR5HrcDXjZSQf29bGAJuE9sFF14vXIDuMyTT/6sO0esTJH4FJN/y3ophoYW50DxeNw
rFvAXxpYe8GbYxSyBLNOf2Uwp8nt2dapJYWuCCj6YLtph9bqZccGGdlb5PkvOoXVqr6ZAN+lZU/q
XV0ATyhNBL4cZdFl4oMHHtOg8yhMXtNM0cNCF57OVf4K7VF+F0I2vkF1JE0QQwGF71ni/AO1mh9N
D1AM8DYOvKF/HTq7JY2fF3fo5lAnbH7zTU6hecGa5vaDm/Rpcar8an09z0lU9LivyxnszEplg4yo
RRdJABkGvZS2YadrZ0KYUSs/HZTmxdFq3WXLNOpTBEnaW4gm4MNWG0gzZwQDgfcVfK/B6GyQikv7
S2UaZ7N868dfxBANcT5v45uCjeGAMsE7XZIv3boMB008H4J8yLMjTI1bbFtfqivnMeL+38KvoC44
yjTKwrwhJqSFJtPhCbxFHPMFLKxTSh/LIF/a9G+GAxzq23uIw2d/r3JoSY68drO8WAWh5SdkeMP0
6NcqfEIuBV13oyX2fcCt8J7ngX41bUlu4DHQZZwbbNCZ3+PZlNyQG1JDZI5NKg9fi3l+a5QkZxex
NT976LZNOFQgPGEjYMe/eRcQDEdPQKLp498MDMhyBE5dOf6L7wL2iK0Q8ZSLqNv6YRwGc4REpnqa
cNZ7Kn34MlKwvwG7nZXsfikUpC9ZWQn+RXcr/QGVhDuOwKD2DpWjZ+7m6FMqgcDyPPDqA4l8dsnr
EL4e0i3dEzI3+Y1e8aki+UTsZ78L43AgHX9sct59VSHvHlHcpZ+c6roDfEzzrhgKnP1ATUY8BqG9
3tAtp4eQVUUmBswuvxq2x3kRr0PptdHdgJCo+jQ3jwQI0BmKyCEOobnPvMbkNqmRW+F9MahH+7qw
eoKB1FYAYFSLovSsMhP7xkHG6bsaxInJxkpvdTxAQpq1PumHGE0d/oOvqcFyS4qHcmHLW9tb/4WS
hT6Z0Vcn6SM7KqCructbUrxoLqF1gpsUKOyMh8CstdTgbvo5bddqgaA/GM++CIHRy4iAZkPwtI+k
mEQvmwFBswY7EFfkypPn80u/+rpOm7oD1cF1s966RgVjtkFuQePtCqGhI8Wsh9pfpnQpimM+mPV7
KciSmt6VX4pADTeCFgrKhdJPtAppMuMDTuBeOQQKgh0i1wiExbrdTWhkSvtODkg7gPIGs1i0X1fo
x7GoNgpMBxLYx/Vsc01CWJXAOx/EAN3KaTB1ecI4A0NRAD4LR5GcP0NQXkKKabG/72Ut/HsUdGzQ
riMyqdkMH9AoS/tH/NWO1a7aQ/KEhhXFdMrRln1GC5/LSuMKleqhH95szrc4r5mDSCtA2BW0tdiO
KDTeHSOx8QWiUc1W3M2bY7sxxDUaln104bANxFXRQ4scxjb8LL3j2us3wOPvSEWKa4pAaPHWzwsN
EkC4YPSgs/+O+dLsRp9Z4Jarm7+Q0nX3LfRcGW3ytklbtBTeXlmdbe8A/sPx3Mg9Akugqmtkey1t
Cg91UfA9QzVDikMaEnog1C6TCMx27E/KZmvu+e5+WL3AnIzZGNQFCv5yVpI+nmlbn6tGNs/zlJdx
AB4FvTtov6lhVrmfS3T+ZrU17nMOFAjWwiz1l2iUeaoJg0oHwnFBkxrEg00W6AlUZlQUQDGuB6/O
Y9SOYKv91QYE+LdK6sou8DfkqjiwdQmPcFrZHe96fdFgsW/rRXQB5tvmdTUlDU5zMZO0XnyRo4A9
79pDHdX6EgURiAl/Ywe85SW5agsPaLHyv09DQe/DJRgwVw/Oe8JqU0Ifi3J7m5Yr8q7QqpupOZ9P
Dfpu+ibaUShZMww9KC7JdXFZGIOaZmrJ+7bk115fPpJTVNfvaF+QUBmKksRuC9rPSYvirsGqiN1/
VHDzAKmF4MnlLm1CT9+gEQjTG5m9VwtJ5j02uO6MAo3wLCUB7RTClxSCZoHTwuS/MIjOs8an4m5l
VYABWkzQQy0Qu8PtQF4J37CGuDXP10Ra7e0bq4ZMtKx73BYe5vE6BvS2zz2ZVHJb3xl8Mg8Oq/g+
KIgHYBwmDOXrNpna4bO/8tBQwHSpuBYrcYYOJMI2P2X+cpv3GAqqhZ4pvqGsdo2AFMYzMNqJMOPY
aMCpd3WmqlzcwDNTvvpTf9tBur8DMTrsW8DHK971Nl56VjRnaNIFFpKgnQ6Q7GFwK8rg6IXMXRlR
KHFafW5N+8ID9Uny6G6cIwORVdkk3dp4u6rUy5FUEXYm5PcaIYaY++N213ad+oEC0OnOYPoChZoX
aD1pygMAvOUk/O8N4llGKN92DW0AGK7uQElY4iy1Lakrndr52JAgoi9cWSdwNBygbHNJHiC7pDyu
FTuVjkNDXZybreI3hSj8s46gMmxqeCSTzTJ7bW6C2ntVHxH6Ffx4mJdnxIxiiNaFSXjkLGqUmioF
ptU8FA4Tbd4X4Tkap/Ah9FV0mj07Z6Nfw2tCIvj3cLefJ3c1w1DT+xhBtXe9DFkiHC4NsvZtimrC
Qw4F5B5SzxOcAXvoI1M/KvcgWnFNu2TRrE0xdVQnUPY1WiPr9dwHzEsdx94Ub8ZMR18of1eTGmx8
yMDuqKYPEV23HsKqO3QeZogtnKOEBRyEG/qKj/mmsP7NM77q3BqSlMpB6Qr54bksOvnmMRvuoer2
v0DcHCbowWxPdt2m1Cd+cdMSBs/QIufDNtfBN/D69AsXm33EBFwfR6R0vDY6N0e08pFHf57YY7N1
DdZKBnVrqPvy0o91eVOiLyPzMLT98BE8e4x8S+s4HM0HRTFXTMLxsnb1GTkQLHVe/t1bsfdRl2yI
UE2mijyDNAJV6WYe20UOB+JacVyDSd4sfJFPcBuMqYbJJjE+BthZaJpBxx5B+WovXokCCr8yKfdg
V6IhTpGeeqzntcGcoPt3wHBhquCTSWAIIMeBBgfoDcjJo5XKNAKuYXwbh5OQzSODXIJFmsdB2N+a
4EvnrTcT5O+IotoFI//alMudXjz/AEvcE0Rwu4JAt6L6Q974122JF0BgIaHBaPilL+SbUhIm0+q9
B7CRtD1Kc4pIg7BaJ3WQcFnF2Gb0BZmoAa7j3hxl1JwjVip4Y8LtzHskewsWtQfVRPvQNSZpoA05
5J6+mrTaYo/2mSePAveNnJ4TlECv6QZBRIOLw/Cjx3C4AtDZ/KBBbSAhEGDqq0XztJ6wRsJodihN
TVM2tt4ezsN8ZxqRn9cW4lBIAoeDhB80j3VXi0tVoNQmWkW6gQE+It6z3Vfi6E/lGYWTB/jOEWvh
V+zFWjFePJQwv1R1CBdMP48SGSYIStw3SgHqbXIXTUlUT2y3DZV9JYts04jiiLJx4Mxqk/YMWc/8
BFX+fcM86EIYfh96CVCgp1F1n3qFi081jqi4iDxIGtCj7dko7QD77gAx2WMdwbLU0bVJ0VnrbrYA
IlUuAu8HxfuD8H5qxkSAt3ubSNQdZwiC7tdJs10OZxn4PxkPaEvL5m71dnwek4nmHtY880Y58R5n
WCZwwlmle1AePKiIauL9bmSg1RfU3cTL4uGjB68PAcgis4XAhReDY7gosHcpt3y5CKQvX2ZqbooK
ATWb/wmPZAn8W5ykfFq9BuwNvUfS9VGN1felmD5d0XMae9ZgEA+6tY0ZL7rD4Pdmh22TIEWrXdM6
IF5miFpup2aGu0uQ6oCd6wCx78EXA8iZOV28COZGqQ5RZHBDCZVht/3kS3BLNJP7QWwHRvwzgwUz
xqy16+b56xQsRZ8gKLg5dtgOnnrfc7c0L79ONICe2JBXWkl2p+p1fEdCpT3g57FuMLYIHCCOtMNp
DCMKeVolvTEUqYr16iXCWH7pAjgMaxa8YQEvIFHo2Culyk8JxGdp5PxXJTjcEDzqkw1+TMzQUHY3
CaQKn5M3BPGMrTmWAp6fBqWqsVP8l0bAj1xWR9WsSbmo5w52n7iBwqbqZnBz2MB3KF+FUYruW+3e
iI1C3D2kyaolh6CuhdbsCYfsYdeG1U2dw7gt/fF+6VuMetCT3ZcDfanBnydipRCCtR7mRQSG74Qf
TFD0V7sVEaxJWAUtoDw/vF1XhG5H7azTpq/zlGmewcybIT7b9Anz51PYXIj0znapKtyO+glS8Xia
9SmXgzxUw3TLN7n26TBNMp2Mr56LzqxvUo8n6ASRcYYDR6zseuBdu+4RdBjorF2dOVaQo+0IggGO
xC+DQzP48323zcW3ovH7BHfoO478z7Rvk+U+sDG0YB8CONcz9A7m6GP0PZZAhjK9zhcCv12s4UrY
eauIDmHQ1jibTHeFAtwyTca+Ur+GZ7d2UxFXJKKZb2GB1eMMKb919hIIIGY4NuSg2Db+BL9ilaC8
e70xW7gCywx4d+S8ntKerFWq5YrUTaVjiUwSfFFeAYtsXmUCdjgZd5ZWLzNbw1tcZxn67S/oEhgu
0O5usak9oF5H2DGiDH87wCARkmOAk2JmqOdSPKf4YbccJfNyeZJ5/aQCU+6FQcEZJH3NK9FAvjvW
30+Q1sV15VVZAwU2ZKMEYUnY5zEnQzlblyFkAK19hEhtjjfMCW4TIaQXpNPHzTY26ZblKzPQcjus
4kdeFeFN6wUNFC8lAUTcNraLAd9gWl5WGl0EqgSg9kPmgEhZjd+D22xOS43MRdwUHwJQF3RtDvFn
vF4f6qHo/LS54uHSExAxwk/XBEHxBb7W5jJEMFdqCsFANlR1DrVpfvVW5m6t9wvUZN9gnxv3Y0OR
b4xJEwNVM6UqxI5cIQ6mjntkchGsCw4eN8nEXFxm7s6wcpBXmN8g1LNXq+pAfP9ZMoa2EuiiGuQE
GFVfEA1RnEVu/QO6QTyIhAuNq1OrrYxXx8WtoLyCqGroDvgTmnlBNSLKgAavlWzZEUxW98tQWoyO
eThclh4HJk2o9xBoVtwRbui+K5FuDGsHBiAEzvmIs56w885WsYs3j2mP4Y/6MoD1FSjFRfbX8gcV
FCeExQbPWPj13cRpuZ+LbtRQyqB6EzIb2kHMoZDE0CIQHXqMzmLrE1viwm4GzNZNQMKMC8r3iGO9
gDJhaV4CP7qZ4DYFmLno+7ozPPHX8DOXHv3uUd+UEHXS/CNvK/WMMeRrLRkEnk3/EEzDcyCbGR2d
ALwmaKEQCGMhBBPDeV09XK4MwFfE9XxYyabfLavEIYIfNQGP7GWzgUK4ADyYFq7Z7r1pXhPwCEhE
QJksYDO4UnFrhQDoOPy2CpkqpqrtbdRQGN26VaAqdXyZXQltUdCjcB0KAZiBYB0MGL/dxqKCDnfo
voVIf0CAfy6WPWVT2CVTSMvYMhxsivwZJnZ5jOR13EFuCY+m8/9m78x2IzfaLftCTYPzcEsyZ82z
dEOopCoGp+BMBvn0vbLsPrbV/m0Y6JuD0zBgwCirpFQyY9jf3msrzN4seCo/Lqb3I+P4D6CkGuIC
CYqVgNhsNI1nwkRJiCnq10LF42DIC3dNbkZvvXFTN7gVJCAj+labbT2YH1L4PIxOZl2qirNxl5/T
iOB53s8ZDUgmwVtAWnfvNoJYkuPbBI3AaOBAbDRGRGV+IJ9h7Nl1uRqbx4xT02NeGs4VRrV2T3ou
PY7K1/Zc7HATdeXtkLlaqBhMbb12uDA4qPf+MAHgR5XcTObaH0B4alfTos6RE/tBQKmNZVExXunw
CAnNneIRi+IiAZOQ1owGw7rW1la/MDx9Df0Euqrhp1yKiyJAGXKL0yDVnWF2fDg76RH9nI2jmQT3
ODbsk5DyXudDFOrOfCZUBBuc4A91mV8t5B8i4RLKUmRwjHAtDM+L4Jfoe1d2w9bkhMNaiDRqb4Zg
Yk2evQKKBoWcAhWgs3mYZwgnhsuCbAQdyZJAcz9rx0O1JP4QcbBYeXud/lDzGMbLGVbClbpotvhl
88tB9MlNt67rcQFEeukHQxkVTf7opO6t2+fBdiSb7ObGqcS+6qN272yn5yi4WLcB56JTRlYJyn2c
Vd3TMuYvzlQjtJI5idraw6J8m/STiFcGLPedY1WRqdXlnaXX3anta3zuqSueHOKZ+4Kcaww/oCY2
6pMRMry4FY29oRhb21UDucvxVjFrukxnkR9zPmvvlUqyJCq9hmP3QGCV/BOfgFQ6F8ZoMhdr7Yq0
azMcU+yNsTK6g+Gynoa2Q5aCWCynwYzTQph7C9tJVSaYTR1bR3J06Vprq4C30a/MJ70V9vkAhFPQ
V6X8Bvxn4PODh/2CvzQ/Ekt6HHwkqlIztzXr22WwlLkXaYTHP1bqyTbsh/NtNq/TIW1kIcIA3/8L
LEbtgXs/ABge5SclyylSaOwiLkbRX7Mu9C2v2i7fXBVMH/j1uNchGgQTQ6GicMglSicrUG/t8ckZ
+ux60hQf46XgTWDGNIurBCvyEq5DxjGzbKzgoTTc/iBUvbJcdfr0Ouue8ziClSfG6aFTydSpJUqm
bZO7q83yOsXIiMWpVAEZ4vTMLfYwhzeRbXrZ41jO3YFxFMc4OZrZlhu1vfegKK6hWzcEdT1i80T8
5ukl9+SHqEhqDMvwwbVcA/uTEVTVW/Oj5MDHwG1FsAq1HEmkH3X/NJlDxkpR809MYqO/XNxacKTU
nRfID3yW+GO9v9Qst/9GJDLD10rbyLYZJ+cz50C+xZvuHvwkdS+ZsqqrscOT7VCjd+jcedg2Wenc
jq7Niia8lAel9Xj3RuFae01LOuZPhJlgLgRnpUuGHBWn7/x2qEsZaFHxjDzb66q7c5XNGJLMNJVK
tqNFeZKXl4PmqnuUNbGFCUUkegp0iMdtNYQkmNyMj18+pbEH2iD2jMT5VpOinzZ2qbfHHnzQozkE
Rmyiyu7JulnX5awVfeQl/swo2rQiq3U5Vdo0NRLTYeNT2ZaJ4o7yVRBBq/8uBYFbn6jPDQ8+WGct
GA+1WZvX+iTeA5qgZJhxpsXgOL3a0D2i3k7bTWGvN6TXMHs1VYBfFktiQvgtcodqjdvlpclgeutt
aJn1FRPBmq9vjce0aeNpKToCpv76RNpEjyEmdZsxH+dYKcMLk7I74uLl1uGt3Z5boNj2lpbcjQ2h
AG9031QyiGWTS7/Fhjh1l7mP+AXq07uziwSuVo69F4i1WLdC5MntLOdsOyhNvVK3+B2klhMVQWJf
y66rnuikYUUsYER4QZDdjsRydhOInSrqghZIE1MUd4WomASnDFmSW0eR5w9i1Ic7z2TgszGpb5yi
ytSzkxMsHAlS3zbi1GJPdgovSlZL3aulMPYwpqadrQIuaFhQmSACl6gZnVqTtznv1B4Xj40XVHjl
MQSEuN70JzU2XajGfkFNmcrzYNaIc4BcG2LOD9zMOKUMdrfz68a6zOccJuZSZvFSmG/M35ITB5H8
ouQ0GVUtF5olq9wTwRPSVXlebhZmf5dlLpxnT1s3gE/mbZ5Zy74fBm9fNE13alYj2+IH1+8ELkYg
XeyD4dDMsKQ4tbS7Qc7JvZiUe4VcyUvJGQp6rbRPjKaNG36r2Phde2kujWR0IqZrUoXYhU1sFA0N
RLA/vB/LIukxY/rCHZCpmzrCTclANqw8PWipD+lqj9fW2Nxo6RpL1LzLFtLHgRhRHoRkC+tTCrBL
D1udMG/MWAWeVAPwNVjrH+3s0sw1u4xUwG+NnyXWge2glcneSku+X9035s7goHDCJL0vKZ58L0A4
GBtQjrMXpo7Mnnh/3xazpVgZEYGti7l6SPCVa5tKYjfvX3SgHTthZwQLCa45XWgj0yHuML/TY9u2
SGWs1uhu5sJlpNgZ0wnClxv5rRxfh8VabvKF/bFpvTwcsLhDNK1PnnT6Pmxch82GmTnn/3YR2d2A
4xu5OCeqZ6Ws0EOt3zBrwDHP81sRYjNKp/ikhyt76IPO+2QCF1w4o3HMxtxqQu7b5P19c+4ka6FR
Ev7T6heNgex1bbTdGeti8FQYWqwXVvM2B/AkQkJrRNAVaeETe4H4QAPl5mG21nVqEsTEGERk1JfV
NYN/RX5SQnPola2f0goDOUgKBkya02Ld0l4T0oZvAbEgN3LrST+hPrPbTLmTfySIlVwTiFjurNnI
93h2yKXWY/uMMPSaifXbrGhbz0e3e7RMAihZ62CnZzvNXkiXrs/DAjOLVUhf9nPHOZ27Rs9tSi9x
B3BnidMgm8DvKXnrL9UaJdJ3r2nd9TZmU857on7TGqH0DYBf09qm44pYTjqTCqXQah7g3GDc/HnB
KZAltqvX3TLxMsIuqw1UjLRXe18De7IKzd9prTJvz+VQF57G5HVgPbrD5KFFK0p/zKFd3ZROau/N
gQYYMUjrsS2GAq8DrhWmPTpmDs2edv141se1ojOucnNGd9K7ymfgRSxr7oq4zhzMRF7KTpDJBaF9
ykAGGjNAI9IyFzrotmiQJiYfuRLdIuDn5bHbukT/vf5HbmQAp+qkHbHkY2foinLdmJbx4KHtR5lu
kPdiNd0w360utNK8cSa5bs+AhdB0Vu+K2Aq8xEypb1MJhzrs/dm/tRl+d1yR1uBKz4zqjiFtcG9q
trphgO1+M30hT9riMleT+nTMOzhOUZqWJBBq4d/btF4dMMW/9OjQZ1Zgt15amSq2OGm6HVspfhcC
YNejWd1h3isuFGeufU5mJrZn/6mtOgGurc04Svoqf2zx69zMUHxUqI92/qTalRmB5q+Ym7IJSJi1
XhL7l5Eskukcs/AOvSh2oprF0akAYhEr9Y+541w1SQGiz6r8vawXeUDLmKI1ayo+EWo+Ek9Yb9e8
Q9/sPK8CM7joLwl4z0s+Etaz5lp3fpc8BqqZb0SXythLuMUVXZ/GULhEXKn8VjAnzHBD7W3f4/MT
BMtpyRuU11LJq6Keukh2xcHiOHsridftZy5RF8FSwbbi8mRdNl5Q79H9Pvy+ebD15ZSmDIx8zTnK
tmJoo1Nuv88Tpb8I4kbbvqyCnWPb1aMxeixcAzPpg8zl0ajd8YQmgCfEdlScGWb7VBIfv/Txy1La
ZhLB6BhUg6NzQQHhV2qjllTkNm3TfG9qGbaOGtJSpbcEK4sBAUCNi6mHTcpcVth6ecsyDRuEkbza
sHPUW2aS+mk0p+9NZ6D19Cmu1WxG2isZRV6xbjkR/q/liJ+AHGKQqodpSNWVL5N5H4z+eofFstys
WYIkFRjyruVwcQcP3dykompel3LKIXGMajqpSgckExj+D1dZydPUFwRdVy6lKNJJW/DJX0FKUXzx
LLNyiZusRjUQtRYX0iw2DoG0Qw427VAJz7w1Mje7smSPUL7Szkvc1xpu0AbERzkzTw6zRhKlRojE
7mC4p8Xt7RejmBXr2dqjGirnNK4LdSdLoUp8WxnzBMcOPtoksMl5GukHIiFniPwsRVltfptxCa+4
CIzO0R9ezlLQs57gygohEQ6va+KaT6gb2Sv+tPUabcPapEGiwccN8u9Cs427BfjRYU7q8iHJE7Fh
LMD1HvJTaAWNd+/ohr4TY+tE0CbF3ZQyPo8aeyyPA33fP0hTT/eS7ZXBzJJct0HrOHgnympfDbm9
0UAYHsfKsrYUqTJV6H2p35TlMr8is7iXjKzKjV8DGOGRt/trJgb2fTVyAdfqpbgvau1b3ndg1Tv2
T4BCR6idPeMcp7tOW2W8OzBJNtyccWDIetDZEzMNYxB0k6EFQdkXRAeRZ6Y7km8cAM157OKSppLt
2iFkNHkwR01gGj/M3E9OOHTgY5Pc7LjXJqO4cTkcED1WybGq+RzOXUsbu+Kqz9UZtYBplHk3131y
lwdBvUkxAjzIJLtnd+XM43CXZvsl+Vh5HrM0UZz6olSP7izW/TKQJbC1Ere1ybE25oxcPAd5syBG
a4l4mWzQmyFl5jOyA/o2iS3mQhrI2q2nW/apN931XTaZu/MF07t+qKBdcuWMiJqyXTHru0cNgzrm
eGd331l7b/Sx/4G5ZonoLHbuVxKVh2kZS3JqS0+MOguOTTG7aBpMYviotuFgY5CH0umhKyyuBigT
2ZzHkgl2pa4IAtxWqzHgjBum7Rgk/hY3GWfONNN2ktHNfT+BLkqn3tnrNpDSqAeT6HCpXPwfK1wl
dopVPha4yTkL9tY2K104C/RtXnX52F3bSV8cBRFSrvAYBcPCs31+5cZ3FhztcqIpbdi4gDq10ClL
1qD/hVcsz8/Ina2YZseISr/+7rR1slFOUr6Ww5IyQsEy/OiWzD9oeJhuJpnkAGX66YpUuI4TSWKG
LSaYZMLO5a+Y5P/BRng6as71QP/ZCX+fFUVW/dEB/9uX/GaB938JTD9Aacfujhfm7Gf/1QLv+7+w
rLjm7z733wzwpv+LYfI/np3xhuP8NIz/ZoE3vV90ghu6b3m2bjLR9f+VB/5c0fS7Bx4koE2YnDN9
4HN19+2vtS5cE3U5S9Pc24jzx/WsIad1dmmjdh89xS1AtOvZ4dvXG0yT6jEj03mUNBBy4xgEpCjQ
IZU5+R+56I04AW52J8GSgLdqBuqqMb794Tf7F2b5cx7p737eL/EWh+PTkDEd2wcZ59YFswJAe93C
DZbEYGI55beBfhnAqNn9/Te2ftbE/N23/hLbaVy7arqGG2KW9lBUFJgdkGb+dm1VvWGEX8drAE1g
NJBAUZSv1dSp0G2DKg643EaMDrr9skonrLUZUHTQIpd14toMzPFgNvz2IBNfl1aSXiYQeCIkA9wm
+Iv3/XrGHOWbroRelOsOnpJW42bclD7uR4IDK8zqub2pKf/YiaEa7yfmRtDsPD9kLc42gCaqI6Cx
+pJDZHbZyXV+FeM84IJo6guuQuaGS0G77Zpho8uPBVXiUMp0pw1sLDIQXB8QYx/hQKqDN+Fgg8ZI
u6JKs23ujR+kv/uBfdgcET1QyYXEWQvlEvcQyKBNJxyiCSYaqZtcj8t82xLoPvRzPJfai93L4DSU
eXVc8uC5x8u9c5iCd4uNL0S45kW+ppcMz2E6p57FXDTnokYBnjU3tAL43vtQTWvMSijBF+RHa0oY
7k/LNXxNZ0u+dtiMFCpi97OGIx5wtU3GxIyZTFzVaBNb1el72qwfShu6BJTNOO0aJiqYWzTo0Hl7
dNGbwtTCl5cXtiLqV/XbbEUNqHPf3pgzN1ZMcezri15veGGMsgHAHpzO1d8YHacbN50RPx1jWPai
ym6J5ltHPjWMCsdTQmdlSJKcXKZQD2rSplsFdC9WFU7+xh23+NmbvS60B0PC24VNEHD85D0RADmv
gzG1NhNguIvgjL4tcmPT+y6gUOnqFFuL5GDbjQ+OqBYkArC/5ZnrRMGIMHXmZDxoqj22OEPhkE3R
JCowX50VlyKjGHXgaVaOpW1JZ9chw4sZbsy4YEQUOqavIdvpU/XN9uTDgJ+gC0xn13I2DoT/oOtB
3LsI7ybOUHLbNmCSYtq71jBHBQ41KsfQ5ErTDw3IMvEcYEufAqxyvJtwPJKd6zxh0C2iDtIm5egN
RCoYYucxpB8x2oiV5LLeehS0t+V8B81OP2kp4Wt3VkhoXEvDuhm801I3xX1ucZ1fUOHx8nHO4kxf
+EqLyJTjahjzK9dXZog1nmAlM4NoyHUVL5q50+Zu55iatrHd9G40gaM5VXBKHWwAlX+X+YyX2kU9
EDtFUcqiYRBXU2sQAnDWeMbvpPonkOHXP081nj7eCRSfRxPL1dZgmCExXFKameBz67iDEcqp5EOv
dRucFdtWVB86Ic9hzfBWesYUtSYcit6yr4LFpbBunRCrW+Tx4Kh1xjVzxmOeSPOyclsgBwnx8y14
ONwYdFz03wzTQPBrpX6v+mXbg7q503r0Ti4ZxISCSX3AX+SKKDusqCb283dRZvw3L+ug1h6aGhwt
zFsjZLikBePkLkNKGOB8pGotucdALA9mAR67wd0Yd1Xh3PoJhplyKlYQ8u24xwcsjlCvu7P18LFC
S41Y/ebTos/jQxf4LBaDDZIJM+BuFka/pww1Q7qV3nl8pPRD0I7dXZtU48084rHgYoJMOuf8j6Db
omm1RET4W79w2+QaxvexM61lww35AfgYKJcEuItb2E/jspIDbHCnlAumuM4EjqOZTXfFtY7krs8k
YbDLAqFo5tIBDjoM+j47pIjKIQkUfQdsjEm8Tho0qLHdV1I7esnKegf8hSrhfC9nP49Nz1333eyt
mKTrH0yB9zqhvp3j4qrVoLvt+yB7tbTO3thZcutl6JOGSDSaTtQcgjwGnKvlBuDsXAK/d+7+fh87
R1e/7GK+75iA8yzD4xDxJcEMlE4YyOPGvg7q2xpJdF/lKwQ04fxD2/KXeN3Po8WfvtOXVHYxKIR1
E/zBlI7O3k6C78Z6ppZh8kVzcL+5Jgh85dhkDs4rb0NjwT8k6yzzL16sa3DGcQzT0oOvfcwMr+Zc
9quxZ7Xy8DzaJuirkTGRX3peTGJci7PWKO6HtRn2hdTaq+S8kggGECfcwe0J7atDJ61f3CzvbotZ
0BorOlb51JDyyvHWs8UIjFc+lek+S+hjNZXqNx1X27iXUERb3d97TfpDup4WakNfR1VXIRSxtMDa
e//37+0fX+75sPeHGGFul6VZF46xJ1uR3PWdgpWxkGGsfCJQf/+t/hy1//XNdT3dNnT+Zftfm2iN
WUuqoVDo+qP3Y/BQ2RbHfrN8HIrAnV7+/pv9LHD6+tD+8bt9SZLTSkOSq87NvZNNN+voWM9WJUbk
iPTTyLqzBlMMDGNKgTZgrvtBUxb2t4Ygi5sOl0GO+MM7Gfd8DEu3Vdu8H4fjmLC4EWCq4gyvS4xP
So/FkMOXheVzo+eCW3LRqahUBn9bnZPStjSyWhxK2vPxhAaDf/jI/Dmz/fOXyomfgI1nwuHiafzz
+1dUSCca+wh+JjrPChe6EQyogqObq91k8LvOM6Tyn9rc/uqD+qdv++VMbSLNdno9M8izIXcRJsNz
Y7Azdwno+E7XjnJRV4nWdzfl+ZTjgev6hw/qX/4ILEoBHQJ+4IMk/fMrL3VD9U2VGXsrQ0zq2RIz
p2e67iYRQXWqFxr32vF1zpuWC6mdSO7fP2F/8TgTUP79+3/55DD36mtDoknD+H/DyaauBojix6p1
ebC19F9VrP36Pru+7pwTzhicv/ba4gDTuqH29b1j9fkFzRBU2XDf3/z9a/qLlZ7f5+/f5ctrIqhk
TaVT20hU58J7XmDYn10RFZHNf/+dzi9FN32H2+r/tRg0wSjX1dX3azITzfeN59INDuwz//CK/vIx
+eM3+rIOcP8YB4Qkm92k8b5n83Cd4/zfoYMmIdK4dU/DAfPi9Hw8bs8HZbMZmn9o5f1Z+PTnxcim
ftzkI6qbQcDd/c/PaiLUDG2XEBae4ma/zt30QIuFccgyZe0bSz1S+3U2uzFrziY4Ry2okMhrS2as
lfaueVgQcKqzYnK6kKcirZ5dELE3RmY+5R3I+r9/b6zztfTrj2sQmPcRJfiJv5Y0k4stkmrt+NHS
8SQXrHYGcKNdvZaw07T1UgWu2jSjvh97oQhVZw1keI4jTB44vjuy3EwVy2k3yQPH1GST10ZcNdxp
cMEtIZeIHw1EoIPeVhzhEO0M2G9hBk49nBbfpS8gGzbNiicMMRBKVfndZLoSLnNbgaWY7Iu+7389
4vy/lqAumeqwdf8YvsIY/sRv+O9EbOAjyOPO8v2ftapIvMvPLH3vxB/1KuO/vvJXyQo2w8+n22bq
7+toVqzHv1Mb4ITouutbyFNnLes3zcrSf6ElQIfNYPsUj/rnYunfNCv+CNnrrDFZPvlR3XD/lWZ1
3gx+f6KRvc6sBIw2AT8Fh4+vPXJ4TsAfVvmyc9GqHyuMUy+tR5zDNxP46XnQqddB07+RS+i++1S3
vc1YCEhhwYne2P3MDjbhuPAcLXhhHl0fJyg1JFWy8tMp0/H556/3/z+M/4QPYe9hef7PT+Ll+6dY
/pof8uuX/qaemr/4GBhBseqmDpTRZ7n97VG0UU9hPOoQHE2fjfS/HkWTx5cvINsM8gC3asAP8n/k
UwP51GXddl1oGz7P6b96FEFgfnkYXQRcF04CFlGeTOtMMfnjmTszcEKsxdpvVTkKO9ZhzeyMHl1P
03L9STiD8ey3VDlE3UrDBAYTfI6+RCLy5yy/l7aZMa3CkktjzmJ/4k8LHlZJJwQBztR0LxI5juIp
TeuEtVarKatJcpNtzQQFjTs47PXyrrXZdEABOLSSjNM1Cbwn5rGKG7mcHzKnwTa/Svk5Op513fHB
2ZvoQkdCe+LQpVyqmdKV9B95jqqjvhwqHNyCC8MAJH4nnKXXIznI9eRTR6dH3egvt8GYTAsWcWYM
R7NryVVj7ribOERZBBDW6r7RQZ3i1emm+8qoq+C42jO7RaATFg192xTTwUxLNgoEu+ZT0/xxgWgp
afq0KsCrF6OiUekIRZChEnhos7tdIA9+2p1dZ8R1VDE9EeAKPmuyYd8w+dXG3sSxVG0GD89Ams8g
LLIgIJamuYVZcXb05HxcqX75MUDJq68Uoa230hyNh9o1sax2iX9r2ouzAz19EK5lacdGg6Syo0DH
/QYPyJ4OREgXlKeka1MgE/Rwh0I1xFqIkAKuZYYZJYZ9disuOnnfOnsdSzv9BD3ZfSi9964qVA0P
jY6u8ETMKQSJqplPhCeAYKQJtNXC6aodvxWsaoND0BhD44TQnjUkU6ZiPpNt0wur1KribeXhuMtz
+m7DQeeiqXWEWzhVmNGwpgH+KfrXQgPDWxY1Y9WFJcZRZvjEuxwbuzwdmbN3xHCR0pRZfIwVTwu6
Gg0nWVWPDOLS/N7vhzSE8lkAzuR1c8Zy4bus0Km5I9fveq0SxM7R+pGWlf9sY84oI0PvC+tNNB71
EA3+TG8E5mLUehgQlN1Dq0njQBqoh5RUcCKoguyEX+6OwBya0zlQ5ziLc+ux9r92yN2YV7Pe3ZQI
N7sW1stHV5luHhW6Vr6gro9jqJmOoqMqS1UK/hm3Eh4YSUKzzEvlY2cv8+bYS0vbeT46fbiUKd56
ki3UjMi7cysAqXfDbnd2PkB0ODs+bXt67VA2IyKQPO8BPQhoTEzL/a1fJ75FT1e1vjvcP8XzqNNk
SEWQ4LQjhZuTaDK0eT7o3oAxex5x1EQ1WFR5YNyTYXMKJvHSz5lqCbymQ72FeT4prpNg6GNQFS2R
B9+0BM1crtlGQpuN677LcAU2bue+WvhuNBX6KbitHXKY/Ux4qtWuHLsXHS2OmIu36iz4gfDosSIW
7kzQYV7UosdgjAlCmLp0yCtQhiXVld166XiZTP4MYANQcnUPZNmWdzS+FrCuvcSYnweeLj/UPRyh
lLtpPvUos9AhSi7BylO2zvV+ENnwoOdkGEAXpu190dew9uksYvI+Azm9mEpYwKHlNCSQFwwHTx0/
qBnZdV58L+chAHOTJB1ksqLV9DjFit3zIK0Sa46vkdGRo5FMcbWWPxC/6WJyrRkPfN4U/YEnU40h
wR8vxMxt33ZTJq+kdJxPV1OSqRajl+w4kiX9ZgUlkKNKEERMhANIPuOPWCSUCaTANh5xP68YzgsI
smVhE//WmzaNhE9dj+dkLf0OnLIZHQDDn8JCrBw1WCC9PsK62dYRL7GKKVFi/lAIYuZhqQpJFEN2
8+s0Sf9yKhz5XOP4qkKwCcvVOHOzlx11XBgJGrVhHUqpjwN/vidGPF9OVN/doHmX2AFzEZCKddUt
9TtLZAtp3lWTFHY0U/WCUkCq95C0JmOFBrXiYLRLdhoGeC2O1rUMD0zruRrceWugqcN1D9zDmM0p
ZZBskdUGbLD+TaVTGVmaSfsao+10pQJzHXf6MgLsqDGASY2ulrCoq5GpsWyuNQTzd91S6i2bDRv4
hFEc3HHKaaiakjt2y8zftUTvHmogVd/aIbM/gUfMD3NXzRTqyPuAZQmLQevBVxZTfZ+P5zhUv4rm
2LYFK69PGeveqForrvrJ2QHRz7PIwQlqRTQLZWJLsmztwFO4r6kneVvHXvanwmXwDtBmDGVGkZtO
KIWihqF6w5ukpaSUdXPe6+ZobcqpBHtslvW+qqZ60xENunL6FrgFkFQj3y4GLxjevPG9qfFbjEmO
zmzK1ICXS89NE1OQVT8ygyhRoxWpi1BOjX3ANEIbYiHSIa49Jq7hgvz75mBpu53GBaNqSwICO5NZ
AFT3P9iauwtqSvvXfMLwH84KO0GjivRUGec6inZhoXIsrNMV0Xu6Ve0puOZnGd4qChefCqN3Z5zJ
9XpnYqA+ZM7SDMDDMDl5+Xfan4ive2u+mZMqG6549+SrDsyF4c6g7fJucJjM2Xmc1c0n8bT1RgSr
f8XJBck7kNXLYiDHtIGWiYOkKSuUBOppGajJvqHMWzHap3urN4ZO9c9IKtQYcbffQ0jVjqZ9hvcY
kgcstccV9lTN7ARVCfMDulw/fHPbyX6D+MvUq6Ty8gD3vnipwXaAQrcH7st6bstv9dwPH5T4YCrv
Vd1px548d85vNSeDDH/Bu2c+Ab/Hckrv2PgDjhfw/PwbBCwTI/42FjOdJMYUd5DiiAe3/CFDAefW
zpGinblnZebNNZ7OrZLDZqCZsY746ipuOJi1JH9UtgONP/yAC1e3aPT8t26J8YczD9OhnJ3mYnY7
7+hoWXNb1DQzhb23tCJ2cF89lvQF7URb9YQ/AIhR1OkesafyF+HeLJ9puigFFSY9m83CLwfnOt4M
QWyUPwxoOQv2HYGufNtQdPneBgwbNqBnlneyGMnH0Cvc330/yZRPrA3fwwRcXdwYgLpOvPFtzjgj
x1UNihMrVeX18hrq8HrHwVTEimgzZrSMZE5cj+XKw6ol6Y5Jav1G01DF582SMzUNK1GbpJgo/nHa
5hUTkksDB43N78XiOCc7SShoHsd+MyXYFjngackprVvA/I3BzIzyFbFJWTPPCQG9fh78tP1YIZph
vqo954rhA8FCOP/uHcFbddH1OJ/rYORn67rauarP5PlobrL+INuVqadpp/UNqz6w/M4Dfc5hh+oM
QMXpY2KU53UHeordmwHA7irAI9AlHJripc5lFVlqad/8LGer8bUAs1jVOnbcjGp8H4YaupnIzzJ9
WxTXVmZSHOHNFY5qgearM7P01OXQGSN2JF9fH9N1CB6CtinI5PGXXWVMFrFJKqJD9AnbL3rgTOK+
UGNw09oCpx4LjP85cLaE9aT0Jdn27Mw3Ml3AOuDY0ZFOBn9v1ZY2RAU4D6pC+Z3tgXRMOwdoRM8s
ufNuM7qSaFiWs3nvsuvEjZuOT4Lkyr0Fq/1mXlLObcJp+9vSHJxpqwerw/Bl1nQ8pwOhxrAjS3RP
+3NG+eJK3Rvp6OXasdqCmmll3bXYy9iJLJramFU77saZHO2TFS/fsj+7W3Px8+/eApmZo5CDvTOo
jW2va+6dPs7uW73m9JcFwsoitz2nvOZlCI7Crb3XwpvWG0rBtG8g4vN7fRFddjIxd50k7S8/ECSy
5mJN+zMToneqT8tWw9M6g8mghnk6eY0DuQI4I71poCVyCem0I5CUSVahfdsy0VraXHukma6cNmXf
9Dt9cIASiy4AV5HpoMecBj8dzOoxwiBcHnWUdwHuY1qeIe9BzRd41Ph/vdaLGdoTMDXq5mKAEFDE
zAC7DXiu7KTSXj8Y1fiizsXfCbaZeEWE5Acx27eEfmQuU25zVMLyD1nXsPJQvcDY1hs2YI7w32fL
jDWVxSu0NPFkUiwRUuKoYIPUU2j2wY/as/e9a3UHlSbppvUHiis0oXYUoNW7JFuS7wnU9GvbrFn/
yLERGVTcDrXB3tF2I3YzRwR669VEQiGo6xt19nC2edNvKSmVe9omihOluOMHVtXm1tOI5kfJxNGo
/N/sndl2pEiWtZ+IWoAxGLc+u1zzLN2wpFCIGYzBMODp/8+zuvrPiKrK6r7vm8xckSE57g5mds7Z
+9tT2Dx67H27QAIGM2WUvHOcgXISpfcEPVN3MhTnMAdSwJwh4XRU4pPycYyrqAPmmOj+UjP74wCC
PMNkKHPjYDg6jUSfyE5MDm5thq/zXNpsc1OCdclT+Z63LjRzAgCHC8MNsgb81J26Flun1xT5RdQX
48ci269FWZytSHM6b6dUYyqt42Mwd90Fw/tlTwmU7Gj3UNVms0AOlIGqTEPGPS1IrRVBpO4ui6fg
bqjsmZBoUnxPAVqRS1ul6jhbMGQ20if7xV+Yw8CSDy4JPX3ktr8LvOQ0TvpZLMa79cIC4r9fkgFR
ALjqofwRJnKO/S4S7BntcoaDWEON6RkJ4jOUs/SFIO1oTfWJCjyq26fAHqaPTBXTbQBOn8R60ruu
SKAMD4ELfqjBByD29tTjVbbzaXlDTHZTqL67IYeXHkE/HDThR5wAdY2ntxT6nVNnzHzV91/7uRk/
1dJfEUzVnnpENpvWIQSBJYaMALjg9mfCcQPQHXTTWc/yioPechqbCIBvCV6jSnltMlr8TUKpvGtL
gkG5RS3/WBEMdd0EoXkcQs7mM4nOJNqX1vBGeLh/MTjuuEUHlq6wePSfGFuSXRmFEx6h2DzECXAd
Ww428DLJ7gazcCcsJ3iRdRuRDayS5OwQHhd7y2kEHe0UthBkSJDAEeFU29Zq/XFFwGo9rGmIDmzh
Tkv6N1Ub1bCFdwNnA87o1NLjd4hqMnwMk+lsr3XrmspkcNELsJt8dS7YsnVBNtYBZnD9PiUd7Qkt
3DJehVauktsqV/YzHBiioKwC0mwu3HcXt+uNi532q88thiqkXVXkY/E9HDXVzS4ISwoJMgCy5wKu
HgQYqdzsQam+rg/kMMmtSoJBbWXZLq9jqvxjSAfoiM/pbN2eRH3rFKUbHM4Nkg904w6RcOh6Vx56
8ZHkJlTlGBsG68EBIbUazOit2V/UQ1qGw4dbZiwAvVMdXD/D7d6kJ9H3A1wEjTAUwcW8oq4jgyqI
G/+xDefh0NeLcK+SaUaBC5gtR4bSuwtmaRv/4U6Q0TSspKlq+Yy5wCWym11TrPq4PB8ZQVIZhQOn
y/kghgjvbUzIeE+MW2R/K3vS13Lx4hd7Qh68SmcBVKwg0eM1q7Pugg5O3exk3mIJdNVEylWYi+oR
stXyUA/OGFxWE8JZFPkTnukFNNI2MxZqXboS+0GEb1GF63TbUr7tBc25kBUpsw0ueH+5oujEbVOz
Y+2MyfwVWRQIkFJhPSoJggRoFdC1CNIQSUbjO49c1l2z5AfeqdVVfuPEwvtR5lq+0JlBNMt+xEka
0F9dlOoajVr7wyOHjIcpSgSAH+1gJ07Lr5x4g/hA6g55jHbaFR0cMIF+qIiqjiyHjobBSii3G9aB
Qr+76QCOXeUFiC/KQp3Qjyhb0BZyUoO3YV3XZqVUYsgd7pvQPiG8Qf+XeROPO3GhxEPEdjWIQ08l
lu8qMpPL/RiO9qYrfPJxvU7pVxEzC9uNfQMrJOvL8rGgHeivYzqWNzXlC39adSzu+AWSYMU+XQQX
rV95H4SCePhQUKOvCzMXnHDYomYa50Qewci7MJEKPknaVS8BAMxX+MQ43JIutW4beSYc9SgHMOsI
hEeSwMkc8bPujpzECYPDBFuu41njXqnq1m7XKh8UMito4u9eO6t9HejgGo8xBkW3RsGwG0INICKT
/g+0FDHYNbcE4YVgB3smZ57XvGdEvXcCgoXyNhC3RPwIXG0DsEJsWOV9zcztYGLRduu0o/ZYuxES
DL6SoL50iOUgabQl5HdTicKDgFM1XbuP3coCnWKGuAKtExHguNXAq/bFGKITict4ehsDCizeiewR
GIUa/qSeIt41KiAYnmROKbyVMw005nDxhy5T51GSEYl/dZAB5wQCQk5BP2qIPv6Yf7hEGNC3yCbL
2aFSshGrjbi1L6JQLy95rSm6uD0DuSmSKfTJtCba7TUDeLIHzxtc0BAJs10tRb2nW1t+4X9xr+Cj
R0R6F1roVdWHHQxYnQzPbeTnL62xR+Je5hgntFkkKIfCCnFcYpLGo2u4VS5gR5P1gc38nDQ5JtFj
lXVU8yjqbRAfTv4ZzwZTlnbd1oX0wyBlldgOJgNi7SoHD3jb1ftERqM4mWrUC6GZU/ij83X3VAZu
SjGWVdzUhXsWzGYDadBJGtB7pBaATVNgRM5XDQ6M5GMiIOo0oc8CRBHl8poMV1JjQtZPFmzEpiUw
OYu0x6ImehPezLCE67J2aNgEeDtsOK4jnpqKNHCatMX0FmAF2Sxhq994kjr3srNtvU9U0utLZbuj
z3k5FNHGEn3yFTtZnu4m98yoiYE+thh0W9aViQS86ikXo3exRM1CzJAeCOQybJMewcqR2XtBoRCa
Qb1djcqG2VJb6AepItGYqm5qky05RDB23DRb7tw2LtRecjLqKJnITWttnvntmHnxlZms2Kxhji3b
1s5JkDMFUS+rwo7IoGdVFeNKVtPOIllQX85oYuFZkpC+oHcjh4tgY5tmUh8GrANLGklScQdO9yU7
GyVYMNebOM8binNRdsG+kQnDaNskNIvmhgtOrInYuR5YVLwrK+d7LCx53zH3o/OYY4r0rGYgfyXN
SXPz0xJ9rlUSeLXtWTYBHKFZvksoNeSzmy3Ar4Mxo4DJSS6SxhmtHWW9l317Xj2/lxzIYOZkbnZP
F5dQJg6u7SY1YXZflHI+hJIBwi4tpvAZGrA6LfOYPOdVykm6liq/LdvyVQE92zYknxTHnE1kG2t3
WCX4xuONnuL6g4GO9dVkan7My0hbG2L/MEuGLLvzqWQrxHgsy+qaGnKSh9ace9nFGP3gMNd92rms
nhbs7FAQlenh61jpheUwbFoPzfkdDTFqSREELotq6f10rNbs6FqgN6ahcKKlQ1ic8PVtT1iX3lhV
Qzj9EprlILhx8bkadR8vxKlgPXKg9LmJ+wCOljV7WOTwWEj8U6e01Rh86K8ku8WEY4p/sqcT5age
VlHsaUjRktsXu34zCvqWWWpychnKYt4tizMul4phbXAgg0wwnkkHWFBZ4TrHYU4f0tYLzrqn+cOG
PQSdsNkoGxu8bAlmBHoLEwUFp/vKmWzy2dvyNHgoKE2w/WI3RTQUJI+EYslHzqK4tO0IBCswXh86
SVO0mFpDu/lGNMxZVCA9ateyt6ufbg+8bC1FXm7qYKLZ3+qsXS+IUldexULPiRKR6v7/5rP/o3iH
v4/8kX/++xHt5idq73+hE+CH/ksnEP6NUb+P21QS3Xb+938PZxnBOh5RDYxhXXGez/7/6axEXMDw
NYIBTjxlcB7c/mM6K/92NrUw3Q+Ew3TKd/8309mIX/SrUEC6ocsM2AmEh3lQ/qZ1zWpmn1xeu886
ek9MWNvhkQ3MvKbjMN6IyTxqq7PuazFw4kI9qE6kAiQrXzkcA3yTl2/wJ8cPrL7ZMS4ivSUWz4dP
EemV4w0Dx5nMv5sCe7rn1yOIyY26Tcjw/cly+InoIMCURkpDy4q4CRqPllVk4scWRs2Zxta/iMar
IJEFdBXAP3KkLorbufHvi4Y+R+lAkZxEYJ5FHtgkGCzg+9KIZK9iaB6aJnrlZO6tMTwTFkihsQ0s
y+xhDLByUUlu+h6LiJ7bB47x6Tald8q5c4ju1WQVG80e9eBVnrXtgaVvib+A5Uc3GA1rAdjAjswL
2Un+AURI+U04cg2yL0k/ZVCxXONJ+9S17B9zrMjwfeOAtMqAfdIbRchkjWGis4Ic5ryzMCC88Hy9
tVsZXRr8wpCcF8Ia1307TO+iwuS6KpGUZNBnRvsNdDFYg1ghwJYJh2W6VP6VP+CR59xZyGdplT0r
n0NDU0jYYyu2XE7I/7ck/E+WhBA+l3vWUP/7FWFP0nr3Mfx5Tfjvn/qvJcH7G2EuIvICXwicV+dA
sL/rNQJMbRFnbtt13D+sawiE/uF38/7GmJuNBogEWRl+wA/9Y0mw/+agVUdc4Lmuc14x/jdLwq9i
OAQavIJEsxchC3FD53f1e+RmY9DTT9gOnFDSFeDw+SV1g+k/JCH9Kic9vwx2OtaeIEJrwvv6beHp
A1LooEwF28ArxvfRtpgdM4unBhiKcZ9Uavz7LoYS7d9k2fyTJopXRDfsSfQwkXDkbzKUiHBF7MUx
CBXnjJcni5OhgrZw86/qUNSbKqiyB4li8TDE8l4bm3BarGnLez0LZ29TIF70QYo1qR3dLU8ozba5
NFcESC6XDkrA/ySi/KelmevlK/fQiyLlssPzF/VnqXpoFbOZ6nALRb36YkxMcEjo8M8iqqFeglte
mSRktJXJ5qtr7OULYJl5nhNohb5uvO9E6+KJRju0qgnWyZ9u6tu/a8l+ieT55/uEy4ONFLKHCe5J
7sc/Xx5pdTa26TnYavAGV9niQNTM/HNIS29S2AT0R5mFqeZUDmLa2padHIYEqjjXLA+keYQsn0l1
M08wYh11xMJ1N+GcpnKABJeuqD6LN4Hubg/sD1k1tKFPnTjFvppbdf/X7+U33+Lfb0YZ8gi5yC/Z
eM+3zp8+apkthDoSD4LIs0wvqXPkmq6fm2wmJVN4M7iFz6BJHyNYb77qwNB4L6v63IkDzX2Ygsi6
09M0vAWs79YKxPFlVVj+6+QUHNr9q7DLzsmRGSdknD6AUPR4HJoUq02Svyn/jJyP/dfIH8T1YNFx
r+cbgtLHgwJ+fyy6MrhmOW8vmRlRKrvpH1a+zIl3aYVaJQ9RANGaPCMnjbjqlJ1+SQqYZeVgBTr5
QbtcDVAMOSuzGp26ygb6BA02Yvq6TPnrX3+Wfzy4v0gPI4nzHENJ6AiHA/xvjxlcXmrafva3tIeq
m4Zg7V2TG/tMfN9juPm2cjPhccymfl1NMq0OuivNd9CW3aen2oFACzNis8InfjRNWULXBtKzqmtQ
6lYsFBbOpj8gNkmmU6Kq+SvSxnnQKoZgV07WKxPp5FItMADXpcLKPSf2dCkxsu0GHdj/4cZhZf3t
+HR+s+F5S5A4aHgUfr1xlEQBQ+si2PZFO14nlUuKKR8tI26W9VucuJjVHAfLmVMud10rkxO0CqpS
9HqAcBdPPvm9P//sTGL/+Ovv4V+sr/K8yCI1DwKb9K5fr6xM5gppOzlKRrp0xrrmOx3no4chZRNO
48Vfv9i/+BhwJLguctOzOeMPBeCfnp+G/QEKzOBv57kPX+1mbs5PcX7z16/yLxbEX17lt6e0pGEY
9IKytxBZ9tNGuHxJSsy50zbU8+6vX+us/P/tLkZByx7NjiqFdz6A/3lF4JbMlXJbwox84Z6EVS1f
C2ScS68T9r07nRUFdWPIIEJ9Wd9GxMZu/voC/sVHGnkh4puzX8DjP3+9AAzQvmpT3ydOLRyfHUMM
yhRD1fnrV3F/12b60uHgAI2dJdy16UT8+jIuS66ELAjtwe/uVe+ewSxkHGVnmy3z5exmqqHDTebr
fCzFPmTd0L8nrmBp5AaW/ryJmGkjqvSaOwLBzR7Y0LDyp/veVeSZM+ndqiyBS6RTVB+0w0CJLB2I
j/Znju7ur9/M7/eHj5fO89grPfLyOFf9ZtJZvKVooT+FW2ymzTrWmVyRNpNslgBCy1+/1D99bJRf
540PVSvpeCTj/fqxpUvslqG2IiIcguQingvrAMRzPCVdXe5EHxM+R9X3H16Uo+DvTzUgAtYbjkus
rCHQg9++LsOg2q0cE2/H0jyihG22IgG1EcWTeRWQAYMVLqF7BrDIVs1biBJix5zf/cgT10GokyKl
ZCYZYiMWcXDbK3VOcBbn6k/tyahiQBdnb7HbvzUkEjEnANxFqvkKML+7akv6xKGZjn4x0vMOe/s2
Ipoa2QRCGIb6ycryMfdn9mzvOjzhxGXFMDswnSrXKnegEtB9xrhgharudJtGoOPBnfI8UbesWfSP
hScfmMLqmyX48NTyVTMmuamXyt8gV0te+8bSN1abuzuMrckmXhioVK1EuoCQZ18CIINx1pb523ym
4E06qxGNTP345ZZRt/dSjw4vgwDvbcpcUrjt6lGp8baTe7RB+IUT50eckWLux7Cl0Xehh/J9uJND
6Xc7H63Dts4i8vHg36/duasQB+aoSKaAgY2bo1h1chjTTqfdn+jAJJb8ECO8A2YpzgpDNpczxtvF
oMzfxOxS70VfY1jvaxIj8nmtyuABQzGs0pZM8hWaZq9cL206nwiG9u7idMQhk83biXCliPweOGrL
3i3FgeQcTXt6nrwNSKPoezbisjD6sR31z5zT5XOG4XEHY7jaRnJ8qVKIkNXU7/D3Ebjlts5zm+fi
biw62lSzaip+VwlqP1qiVSTaO/KknhlWn9V5zNoH1ZELpxPIKNjEgRpbtAm6aZkwXZf+7TDK6gs7
aX+jO1wT4B6Tbwnjf5+cqdpUuOquL6XzWmOTfjGZ2OM+bugS5JO8bZpK3VkF8w+G47AJQCa286bP
x/mpRENyJxiFEGOSR2vkwvOjlcZqj0uouGYYnRyWiTZFwUHrWudMOnOk8hunrUJeOVBQSwF0w1ay
t9qTzocVQ25tIJVdux20yZRvj3CwarjDs/0JTHf+zM/v0Ni+te/i8dZOvP3SPNqEV6xlNd+08XwV
MwPY53Zujg3Bkj/i2EkfG5tbshXAF3wtnY1sC4eBXblshqEdYF+gB22mBPVuC0m1aJsFIMfswNvt
6m9p9/SlR2++gKEBLM+XP8nGeMO7H5M4gLoCcqmbTS9hHzYHLzGk2MyomFNB7w9fEkRejLwrwtte
OtW/0EbR4AJ9p/ssG2d4TmSBjRn59z4Sc7MlksllmGX6y46Z26aLuuCQA2vadZZMtr7gohD1189e
V1tXGVe1UQ4U9a6o71lhp0NbtQYetwi2/C3UUKG5hMr7U/gJcTBTQJ8nQslaI34EqZDyF/C3PxDk
JyF60cguhJQ3ca+KrdNY8kHo+bOXfnNfdgYTo2ZV4BlcNnBQ0Y5V/u2ibHGn04rvxNXQZNPe6AsP
cQYP1ZDu0siYNdQICEaIUMJ8ZF4C3W/1RzqMHy/p0yBSSCFCLSfbZpjgN22/BsWZ79AFz2wQ8Kh9
J80/aN3ryzHxzXW2xJDI5sZcYa4k8EJ1wwap9J4+zBv8gX5Htkq9gdxEK9vGtj+SxDhZVX7dFLVA
Iza5P4TJyWCXKCUgF9qbrEjaW9eqaJ/FlHbBTlTeM4NHnzUwYaScpvXGCQtko7a+T+L55EC61aI/
LgRZ0veqecequBP2BNJoztwvCPnlmXrCSV+axdvnvQvOBJYSAAgGWJ1L5HatgEyhhXtwSB7y8VKs
NMYE5kF6Xy9Kb6PO/azH9pSiiC694rPOGO9n9ejtjQrcfWfZDw0mN3xv41Xtj/Gl0TA/Vih/+9dh
qZyNak0dvyeUZ+MqjatwN+czWh+1dKcBLf7arQSohyK51ktP7981DrkLYoF320wFoCUERjqLauBN
fe3tyCQ9xybFFxw7IKLkeXFicjDeWk7W7jK7ri/heqgLP+ibey9o79ICy0RDzutH5nXNx9LZxZ50
t+z5PBTdDpOXXWZxJ1656mYLLdEn4zAr9wwsYBIECnatY+UXrQTHFgbsnJ07oymvFIheMhTXiuya
y7mc5QbkY3VUws9Y+hm0FF1hX5VG6d3Qsnjj4rjrnO8ipY+wCqy5f5QD8vjeSdWta8r5PkgKeWLA
NCM4DPOT7UFfIEoifqmXaH7V8P7XkVs692gf2j0wSPbC1M33XocuVkLMgLPWt7uxleGrSmz7mKVR
c5GDg1hl6XxrBwVCxUIkt3R24NPwbi9BgvqnAebWZSy0v03j0X507TS7gzQtjl1v5CWNXLqOUZ5c
jZXkv/povAYy+qWqFoCtX9lrwlntA7folri5T1n56a4uOS8C5TmvLhEBcSRMKM79SxjMx94TDEK6
C6VvCPXaVn1Q35gygzitJjmsHRUQlqtleCXaoLkH3uFj5mmrV3CvPjom73mOPX/TgBrmZABa3Tdj
F62GZcj3theBvPSC6mIgcIE1zCOoKbTEBnw8alAk3A8YV0DCTEsZjTtECKi4BHg3eyaKoST2fLN4
FTd+PHSWgo8SeEfgtsuxlvaL9IbwFhIio9vJsu7qCN7ykrVfQQ/o1S46wQm47OqHutPXSLwPYe99
17K7SIolufWLKNiQ+YadFYr4cRR8zkmY+esWH9OKdtRVnzAqT+I1B7V418WVAfHuoPYcLSe6MURM
3gxDnzxRYgYOmaiZs4u8OkhXYT9218wP4uewC537qhrsKxdRzgUg3OlqAqLw1fuZDdWzTdNHU3Mx
lu35P8VkRz8k0VsXRUYCnZvyc04srQ1T/M7BdKLsHbB5JqF/aGSRxIeX1djPFhCfpt52UVjfqzok
qLLNR9wHEzqsXFjqlJCFte8hCTOudzLnyYo5kxA0HEk04+zXI+2fZlXhyd97RuHQkbqNHz3lgI1x
SpT3vamS/dwiQ+ac2QZq1aYQvTOIK8+NH02vXbiU8FH6EqKEStMYJy3M7ACxeR5dE00x7tyCnEJB
MQSBIrb8t6RlCwoVWLfA1eE+QkM+rwqDCNyYKrqKSGzg4hmlwEVcclhAymrJoiC8+WYqaFBuBoS0
AFHS/iof8/sqWD69MH/RladBQ8/uRYes8KD18orkgAd6qVpkz0V30GJptqDIGfidtxvbDcMzg31p
zy0iUgAhzWyAT+lLV3TOLgUiuCMrGH6gFdaw7qt4Oo6p2YFqZxhQRjt21wzkc4Urop/r/ETQiXqu
p+Wk46/FC++lcR87OX6g4jrKOXnHovKauh7OdTKm7toRhkZv16hZ7Cq8LEdZDJsSdMmmsc9zWjxg
0XVlq26DbWg5VKWlHVpRiLxy6dfEeHTDg9UXxQb1oSANU7n6ukCR5q36wPc/JoNiYc0l6Ns29pO7
MpoekPOLQ+PV9duEWJ4phEFKQmvJ/BzzeHhYqrDdz1NjbWulwgMQyQTlCtvel9ZypPkKEzfxgngV
10LteZJlux665k5iTDuMtpOcFdQAaBwtt0GDFWedRDC/C3UXFDRcsLJkUMIBSR1DvzbPkH3ZdKQc
BcbqxFfQgxdqVjuDT0y2ZPbNzyDw6io8Ce1MFMOaYwzmEFL5rIsCJM2W839/E5aYJrYerdZt50bV
JVnMlr/KkOTuEF+Ge7JBB5ZcrxEkirnWru4j+WBN5zCakKbhEzOuBsAgIiRaFM2eQLWIhxsqrZVY
ycqLlzsnN+sRhPfXQNNxN4nB/uAZBi4mDJwUYKW3BA7q7RRixQGMSuiXqKV1ZacizleM04urMgXh
03H42PppUa8bp2z2OpbkJQjPOVWJfCpH+8Kt+uZz0Qkq/JTMbG+0mofFB5avmd7fZUQ8U9RFwV0E
R+899cvoXuN5u3JDQtL4lcmP81L4XiVN+qBN1UJkcwrn1OU+FrDcip7CZRgeQyInSR0ash8sLOU1
tMXpydhzhlmCRImdwzz+3cw1IU/4zQ4pdpnLcsiSa2dJ2juULCRZ5koccd0P15lTgWOySKnJlIZR
hP2KB4jeiwlkdqo4sL1ghRPwsTUETs48Sm0xR1hb5BzRoUXQBX1Wp9kNnUEy6Tw6g5M1VxdNNPYk
8jamv7P7NKSdsnTzAZgzoezlEPxEF+m2qyWvszsy7NQdsrSZQF3LuO7RD6mP05JqkiwJmrL4ZQDZ
trmsDynYnJe+r7q3NvdsZytsBgerpl1Ae3E4z5+04xPuBoZv6+FARIFTVRQ2klgAktLH9NoKyCZz
fALXMQSMK0s4ijIw7W7ZJvNdJ5ZS8JSc7VWznHFy1vUT1E8il0vpk5q0xBSH9XBdhNMdGP+Qm38s
9EHxFjC1SlWjPdEoFIxXcrSEtEmudmQR/UxtJf17K02yDWRRTiGxW3j4V5L+yRkcGqa2zfmO/93+
KFUMgXcZ3RtnrBDEWBx4yJe0xg8/jfO32kdhvI0dZo/rpvZMdi/SFHpMCzBxYy0zIrMGjyda4hkY
M+E6ZyWPRVFFthab+ryfwqA6FMKyxXMVx/33iGKU0prOYY01BjkDIKLZN6dozgJ3tcROOG9K2L0G
YVdrWTe2Hwzy5BC7REILYl4smtVBLVLcl4sgHMvKcE/gWxokod+E9fK0+0puqTPNDQKSlqVgWTQa
tSKL0l1VI9RHVs7hNlyk2pItP7uXtPdAzASQl7cEfYCB8k1rHafWb64KEfVP2ejnaywDwR82LYAP
cvpeVLRUtIG9s522qT59R427XpVskTM7LDlQZhSXVVgtL27t9d8pfaAre0Fsw1tv33RserA8MSkj
bIUsA3w3Hjl2upLdtS+T+bpvAiQkUi+IBP3RvqQblrCej1VpNtDBs00bN+omQ1963dh+/k5pSbkY
mlZ+5nkHAtxl4X5p4cwUWynMKR9SXIvGWDXEDROot76Nmk2pvPiVkRLP1VhmFHpZ81CP6ELjczLo
jhyvT1hKW2FAr3mDx/CEfuYe+dJFURjw1wstMMDiVnKPp7d8nPQ07IStkpNKpXNT+IVF4wMvDBlh
Y93v5noZwGe07hYeRjdsid7qXpjrj4ec7es5IVgIka3EQso7cfqLbsmLj4bj0taYZoAgZScnIGXO
rUJzjIMatDTsLBcZ5HqYBnIspmmOAb6HKbvkNAJecxwKA6rhT9dv5ZHuanJyx+ln74w/u956sikB
zohp5ygwcm1kI7ydZ1hCG7/Wzx0S7AsZqegy95Ls5xhWCcTLJpuv6WyxM1QcrMn+c0PN2N6hDdpl
0HsnZf3EvhgT9RyK797FWYWCNiODwCNBJLqfUi/1t4E72sVqGaGlkJ5kw+y1xUwcsYOvz4t5c82M
frZansn/HJkHLuYzs0iBWY9yGm6mOCTzd/CvBtZgIr+XeJMNU09HpxD6NMJDPnbGG1Y8HW8gSRZY
/ejwNhQmxT4YZmxtLBHTppuXd6npwyX7qPLewk6aG7sNxWvPW79AkQGbk5i5IzOuZkt3STyzO4Ey
hoYKE3/2ry2kDKQd5fnKlAX5i85yldYVwLCgG0EWteprLifabZW29rGi1rWmnCDpFiUp8P05XEOD
5jmwHP/Yc6TFwsBmZVbDxJY8FO60D7rF2jd2T2QqUBjSTrWrUKNZ9c72uvDYhG6CKjlNnAclu+AH
rQzCWk0uiRe0cmLgnP6+irv01jnn9UZIw6gBtbiKYw3lkPtwDuaGqC3ZzAe+cdiMi+sxdJWGOzaN
Ts0YvRpLhHiKguCimDu1xjWGFB2x/MZn773QeSCu5KiDjeS48jo6QX5Cxom/CjMhJMOR2MGxbVZe
FJmrycgCiaJtzdtIpEzroIqmdyFCuJ03mvGEiyv7kXSoJ1UZd2vhM0YrsqR+qgK/eEwSvdyTJRk+
M69vKInggcUrTwP5lgk+m5LAJSD49XAWiKA+Fap0H4a5jqhnSTyiBFJHZ+l7IpwwZHeI1ZGfFGO9
9mpulcibqmxvOEvu2aZzHFghGnLCWeEBQtZMOG7N4zvLaIvRnEzpaBc1hqN9vGTDkSm0JIakb1W1
67NQ3w8Obi3S/uKG1VS2eDMnF39h5BvrLivn/LptmvhCEm6zTxv4BMb4wSWua6TJhVMTQ7PkG3/s
qYFwD206bM632dTc9sDFnxwc93XnvmdN8BGhmln5TTCRcReM7faMXegJAAnWhNddBcDNDkmS2veq
+cP2IuRFNZvyKuuLxzqNXIxsY/rdOq7zEHae90gqSwzBSCxbqx0fyBpGgh4H5t5UBjIQuRrXEztp
rSv0nEmu72NrSR6Cpar2/dDhBqvoMtPQFVem9vTeD9Sw0z3ZUQxD3ointE92Ulr7Ka6OY9mFe+1x
G+Xp8I0qdPmayfQSyprWGk/WeiJfYTUy+SrIGDhCCyT5pauLfZj29IbO9AbucIFoVizp46D1bmEe
K9qa75hZ19ae+x9eXy2nxBhxI/WA7L4DPKlW6FMPNf2nvRfbmrxX28LbORCX6Po3LXmxq3Yo1Lju
fMIj8zmE8jcwWlZol8qThJaO62gbAWUcYbe+VZH/BcE92WsLx/VcA0Qi0yq403aHFzy4dJfhYCnq
u2ZISIRp0xt6vw2zg2qPveyusXz7M8U/z9JEOeyaiuxsoOsnGmBPReTRVrBDLJY4jrOMZt+o1VHg
k0vOrMmhm8ovQT7xuhDd+7Ikl4jpnGSVZA3KMqD48NuVdNkOLH+niNfCx5QdCezpcdBEOEFX+Ee4
8WfU1L5F3gW8QmsVIB2HGYpVSuI8pklJOeE70fReoxM9VWPhbUQTULTraZew5m7sEGvtBg3cZ0PS
3EPQJjVBkambduim3WDnzflwKOdZefRaGlIlrKwI9mSc+m/d6FjJR8wf8Hh25MJuROQ8CsD21Foj
3bZiJq6E51atqaW3i5QzOS+A+m9ll813seXFD4RhkjOgoyYC7uAeI19g6GxdrAtuxgBzNGY+4GnO
PuIw/n/cncluJMmanV9F0Fp+YeaDuTvQ0iLmYJDBKTnlxsHi4PNobj49vb7gvV2qvpAENNBaqDeF
KlRmkhmMMLf//Od8h6eiTzKDvhJZZ78s0pOsHKWThO8xzQnkMjzAtALsSXRSKfPJOqY8dHwLwyy/
D2OSY/ROB1mxng37ERa09Ap5l8aUnPjU2NpoomCpVybmeagEKwTO01CRFO7Sh2wc8kfTu5y2nBsU
pUE0XlZ0T3n4QFLlvzVVYd7n2vY+yRfS++GSjF+NIfdmzVy3tuupwLHb23TmzLI/ZB6P+0Lwo2YY
HJgWI5q97wElvCIUd1uqUuiVnXr/ylceGj4pUdftiYksxZmq9In5t711Mvuoy+Y9EZfqBjXeejzf
47q6dayYnkGyRa4ccfe7cRXfk67SN7zjkreozVom4haYXCxo8pWfHUACyhjt5gC2JGW7NEO2yML9
UIa/yWY/eO30CuIeRAcfXD7xi9MeJxo34iDu927VUY2FwXStOt7oZYrYGHv2xWQjzQPPbljZQY5K
lhVNuWUMYFLtaVOBvrIM5dcyECPrXEevufYcqypx8MBT+RBgJMRlothKNaEeHy8Z6qfY0N45pQ4i
Nb305wwDgyjyG02z1lZOvtzIIEGkIHQavTIv0G+GK40Oeso/jkPt9L9TmWlasdQ8nZYegC7VB3nG
xTdlLdz2PHRLE3PkJWvC46s5i8PDLKSh8oAxj/OnrM+iqLzHdgwlFy3001RYLEe87E3HltzPAycu
2up0k9Zet7GjaXmdfaa2cs0qC2VD8Wa5VV35Oo7SuafvL4p3unfm341I84PhdnzjUqv9OreYu1ln
elyt88UDYj2H4mYqLNGufHgfDX4wK9uXOo5uHaShD2ZTppAli87pEJMYwAhOHUxvJb7cRp4snhjh
cJN23Z4O1jVRaHFyQ4t9gR7yp7JvD51pxp1Xjs+9xh2q6/iJBfK+kYF/KNglbc3S6bUgAUMeniro
pM4s+ptYKXKupE99DTvFDeBoewNvtFWhRPddLemZSigyb+m89+1uU41FvVX5yCMbIX+9UHd/oi6K
XmyKiDVOGzp17CbehXMJerjGDaM2rpf+YRvbazA1NuMB5nP3KqoQbVW57ZGm2faTbkGBD8rmDTKm
HXWxZRsOjwU02Wndyj4/UAHE1ECtxrWf4Pm3J0XEyCDWEe5yL41cow/TrlLxfdLmZxJK3CyGJr1i
c8LKwS6Lw9SFgEE6Ycj70zSxPJALrA4Yz0a9sZPAPgS5KEBHXGpj7DnLXjNOxY9FdnJdYa55VE0E
A6ifGkjTi8sR5vnDXZ+zNhso8thyblgnMn8NI1Nbu8fOHtxqrWhiOY/cY66GOYLzYXTjsk1LJhIS
ZE34sPfCdjfQC9hYWLZ5zuFuMH8spCPBGe1BOJKADWmT9ulLW42Jt/c0N6gVQ6l9wwRXr5KOreKw
advlvmo+dZZaX3UOWrvzjXWdX26842KnD/j16rNDESccnCK7y8BEHvgoOXcwG5dnN7H9bRBa3obS
7Yp5zwOqsmh77eX1tHYzbL/s8vJrfE6kE/yBu3PUjidO3GkN+TzYGU7pvXJospnr7rIZayPgk8gN
VxFboE2Th8mmSh31YBbA98S4vQ8Z+qSWUfV4eOTELTfQYSCqj1Z2oVqPGzQkhxSLBCuTW/0rrBrv
UfL+vE8ayVspdnp0h6V+8LBqrWr2UGuePHqTccgiUA0uJESRX0rA53QTEIB6TMsm32MG71/aiLOu
JqdIGXGFs+0CseBvXFqGRiVySmyWYr+neKROPlx8tG/eEKS3s63bDetEi7BrYNPz7HjrwAdtYItY
8UoV9TqrnPlE9RaPnLge+OmMdRu8W6P1RtfmF4wM54Yc8R1vKNR61KR1WfTZXWKRXt+YrLtMDpdA
3zlcWF3vG6Zes4diyWmWdHo48LZuuT46SKZjGSR0cKXxk98KqHo8iAgb0hszT2uLVxbLwBJeV4Ok
e8Qvuw+bEjEHzT3ynf62tcr5SGWav85zi1KnfsywzyQUU97To9k88u5KX/Kqka/UNhYb5WugFpYH
rBxY/y1I82Ld+ob5MppJlfeFFK+4LvunfLERpoKSMq9skcEx6YAnYRuLv8J4CTZNJPJtqJb5kd6e
5rqik3nH06LYKr/TV9UkGuZRMdisX+TPlGzWpHDbk0XZ/YYUbnHlkcQ7AjSixIVniLNeSCHttDss
Z4SW/rgkufWex7F6dujuuqoYkg7aSojEKT/ZUw8M9r0HY2VP5tMiN3NMRzuSK98eVbFOZHodgTe4
4x1ZcKV2u7daDdkHvCK09CReHn3fBpkyM+80m5n1MQ6GDarxCn8j/8xRSX7NcRSaNcsNUs5i6PWj
nEp9dvO69c4iqAYyfLLCu2SNZusxax2oCWODvuTibnaSS76VBCfFz0mxbVSPR4UYERNw5v+KCA+d
k6bmIiJ9RJvCHvk889EjJccSM1iKp6QrsZBYWKgWXd9YtfXkV9aXg7XzV9lY7UNt3IhQ2pRebrX1
QEF8+iysbridTez/coC5PVjzUG+y7H5Eat0BpDGvea30nSed6ZWmoH6bYUQ5OXUarI0fmVeOlVeV
F87NbF3uB2OZn0lt2qeq0GJfxEl5F/dpvo7Apn0OQ6R37WjDriuHlFFFcDpgsDowG6bxum1sqoGx
f3jHwtftfuiC5a2MWxqq+3mxPwhBcx/TjYBCzD35lKVAzCpXocu6VUnVAenPmHLbdeterBGVCTia
4gZ+u0L3Uf2+c3xz1dA8RW+xlK9eWNAoHPBdlaDdSnmP2JqehqV3dmi2GX+qP+3qRuTH2BTOXeO3
eluGFJxaSRWcjETSyKrvEb1GTTwzishMe67RYbeagYEBsqGhIdJZdWgVqrEK4rcgST5xKX0FqK3r
mC12GskdtQHputUq2zdt/ZWrvF5Bmd4TyyZESa9ak8/uJimHa0osrke/fp7osAymxadigcUQ7FfB
3jjZ8pFdG+kSrfTlsRiaxxm2PI6htU976mHOqoJ4fooDga1QD92IRVZgkHtKTYmabR0W0V4Vjnsw
2Xzttqjfs1RshPgjD5oau53bwz5k454yTBqT/fZh8O0sP85uAki6jzb7r19excRYLylSeFnL/X9b
amAmHav7rZ/38buVJO4NpUditwRxvq90qp9+HHP/0ZDP/59YsoqP819sg5v3/v2/fP2kSM7v5dd/
/6+nd+g+FIK+/zULIv/+u/6RBAn+doFBB2Qu/oyA/S9yZ+h6AqefEPgLQ/yh/0iCSBJgDJUXqCff
AK51/tc/kiBS/g0wuoRIa0uXf1H/LnTnP3tgFYZKvIbKweIIyzb4Jzq20qTYfU70LR7lw4wnXUX5
twy4hBDWsqL+nijjd0vyevWXV+l/Ey0IfqINf3XfKiDnMPjQgVgv8nf5p2xBnHjOopbCbBUf2q/I
9cXKuK7L0OwNMj7aYnEzLjskqlZ+ai0PkNGngo9WAl1I6ubbpWiXQP5ssCJVeRC81sFcn1DkbWhh
6eyWmzj20Gd5PAd3btFSJWf4LO4cL8IW1WE9WdTgX1mgsnexDpmLqplnKp0YOAxUdzvGCE8QMD8y
wZoKfWuXkThZMxFgrWmrh5k6nlUPqUBZOO77ZGJOnLrswZkkQbBpGpwzxid5VxBoOPvUmqAoTrDV
nCD7FYcBXy+aJ70n2lbeg6Pe5k12nTmZvskbXoopXCRx+knMZMHzlN88zpzk7MiGD0dZ7lPva9z1
2sj4FoJfd+1VpcfCco5Wtko5qRsbdRUrabZyiix+hk4XPihvmLZYpRpAJjXBeNvcz3XrbqK6T17B
3Dgw9DrX2gG7dOq1M1jB7Wjp/juaiP9yNw+7eB1nffhJ+69GOx0VfoIuFE8TJk7+FbKd2kSNkzzo
ur2A4NyZ7WVh43xalQRd9oEIkpPtCO6uLJaubZe524GqdJ7S0r0V6cJm1oaldddatCYrV4vrVE+4
h5qpupviMYbJGVOVisbGQxiXJQVcDT63fe2a6XrIKG5Fu6BTm7scNcb9cqqmoXlqq8A3POE05DsS
mfWzPVmMHf2lT87PR5ri2VeH9V1sO2TsEzdngCtmGOubAXAABK0m7Mn0GvegBFSmNfaV5bksbHwj
q+jihmZkkf2EaBvMt/y6sUXJquSXZ/me2MasPrBe9+Fdoka0OzFYsbc2rHfXHtbKo9E0jq+Cqs7I
RA2izleacCheVlLYXHAa79mbEXC2SzYryoapsYOz1wcYnzuN8F7zKDhG8AwQxymEvgGU2/9uK5s3
Ut6KV4Th5Av2S/PBK5M+6LwKb30YjDlIvYJ9OYCD5JUneEo+xcCnsblEuysl5HCH3YKvstgJfQTk
Pnvab333N64PDTU3U9M6cgd84inVmtj1HDlv8S7atEoU86NdL85DJQnwb0Zp9wsOiBYby3Jp2sGx
CWUhi8fmfohk+FsHdfLSAUoNtm7Q1Tg6ihxjZchFcujxfvnGyGlLknt6L+teP42QXYH/IvK+t1QA
0U9BjGojIVh4a8UqFLKVbOWXpVP5mPRN+cz+LrpXk+O/Vqaw8bA5BeAMe3Sw8UQZMVZXDrAJiPSX
j7VqAcnNBvM/baYNUaVM5XqjHVPSWpgEfcbrXuA9VpNvk0RVatkmgtyLTAZUWy6qkngb4vfsL8Ow
T+hJeUDLA7oaxqI4LZQPy8tuh1MkZ580rpAsrNu5mZFVZB7kz9lshQCQBBL8WlV+/SEE7Wcbcobl
YWkBXa2ws/kzJ6HtH02V8vdR5uIpabIgu7PKIrmze9+jpDr08FwvlRzvUywfz/xIWfE3qkRDCRq1
jVzVPcaYbzZu444YQr3yvoDusF3IzqtVo6b21dEkKn4IbW8jgHS2jIqfKKtnQu4E1fB0MW9YuHWH
OMtX8dT06Mts6wm0i5HS537iO6UD74ri35lVYJCF1loOFcfCEMEn3OTWMpzHnnhvIboMKZFdtiZY
EqKl0Ttgv4H0GLw11TkeCrS0KsZ1xsWbjLq4O8sLmqeAgC452mjwg22E7P46oth+tvHCVgE6LUd6
SsoPQccmLoUFO1loMgu6OT7KiNXdynec/MwsJJK7WuDv2nKnda7qQUGw1oUDrm22qHRazWz7m5uu
LlM0Fchq7yNF1tGakaPT28quQNhV6GCIgj7bHLpaWWo0S0xKhnpVd80bp0MnQBzAJFKD4cMCiY+A
LS7wGjV7ml8iPcTQqcNRhGOJPloIjFdhdikptoPohndS99vHUXZDGbT/zMBaXg3o0aeFy5/Fc04V
BwWer1uBwZpfSsChBkNaOp5JBAXVtsw5qam4plt0zpMW6LTn+p91pdTjlKPdpoTUUVy5cuP9Mn73
PZshue+UQ1V8iod7O5CHPgflKPHEsCBwsEu+VHV8MckFdbrOfB47sSpi2ojhZJd2hRzoG33CdYlp
kO/8HZsfwNeEqjNfeCBYuUj9Qcd3cXYjo8etYTpgBnFSmHl24/niEMWzoA0K6PK7iGdEJqP6fL6u
1VxI6JkDIDEHYAXVPkWacS+faLBqJH+3KUrmV2dx1C+O3+ZuQqDYkxKb36CPyWsYsxNmJ6inb7Q0
gnGi9NdX4FousJoBZJ9Y20a2eLLnnKWMskT3ezRef4cfcThHU2TfCV9jw5tHax1E6fLk8UH6YHKI
WEuwRd9NdbG3ke0aCljZUKw6/G6fC9Jis/Za7VNAh9yDS0Ar+z51W0OSXZqjEXZeXLdoE2+eSZLv
hc6KhFqsFk0HZAX1HiZLFhrOe5KL7nGZXNx5dRwFEEob9c7TJb1nuEomji3sVxNO6m4pNnXfYDhe
tTr3b0XEI3/NzO5ODHoVzgbL6VyETeNtJqfQfAgYeyZtZe+QdKNzPdQvOEPQjzqSHkkmQR+Xek52
XAxAqpje8umyT1zFzO4k47qdvUKty8iF1JlM+DBLXglZRnO3NcBI2MLawUdr984JUnQAN4bKgm4d
AVs74PdQ18aVb4Tm26d8ctw/gtwOC2I3vM22oa3xmUqbSwJLT7//pusXG0tr/IFCg9QLHoSj4mhn
BmeeUcxjnADJZDI+nQ4QPtyC2PSYOEuD4zPIIJRDfLPqkxlc92XsW95RJRYcLkKFy0Mf7evQFQKk
IHogj0se8PK7A15Uc04X8WvaVaw+LONOtyrF37gRczlsk5TA6wr/gSShMZXzFchk648o7QysHnzl
sIMJTayBN/a/nRZH5opac+t3bCmQQ46eM4x4DqdAaJcgaCS2pEdYLngA46HhbuLKZXwac5Ks6xmb
qj7OEYuDFW8BZP48y+b4BtKf8yCqYgl2dFCPxSpdClhPQM/bY69s/5OcD9tFl41TmBebrm3CtdNL
tcNbm7yME42EngU4H1hoAswMj9lqEHOHZ2cKQPpVRHJWvbQ+Zhk3b4L2794DkOTSuZeBqVvFfVDu
XNo4LzEjUgtLwxdrYvvWZAGrOXWpOsc/S45o3sCUrA5x6AE8numRvM8a+sBG0Ek7W3fF1g8jl0fu
EN3NkYea56OV7oKu/AgXWwKMrZ1vuOgUgg4p5LSu9sM7wFPddUY1DcmJrPAfFjmn9Vb0YfJozbK8
sc3I68eH4nlyR46rwiE0sw90Nr9EQLp+6a6/uPgXb5o3RsVaruTcmG90PfPhJijcqzrQSbmunYgW
8ZLp5tsJ8PCuF6ZrbLBgK1a1tl3EYQd4lG0l2Tq2eReyxQVDuZEUf36nFjugZmnLx3HhUFk1VdRc
8Dcgq9B5Y/aGUd9P9sG4ENM2AJrmK5c3IpfeooRdOvOkFXlC2MFzUa14jFVtcS65zZebfMkGcfS6
AmqSVND2YIk/1PPCmtjHboBjcwEH35KfG+1ghF6TEWX2WjOKVVEpbJJFRC37NKeYyPxEhb/qaFhg
+MD1Cqi1yYuWsNdQgGSTlyafmKUtXsmm5YZkuTMvre/WeMzKckcuNyc3njfiRHIIzlevK3hgsaeL
l5kmTY1N1iRfuQ8ojRrLiFtRZZVcEaWi+WAVj3b9LIxT/Bq1CD5tXIqHcYazCrKbz2jFZFzjZe6y
94yVotgxxnq3wNlmuXKsqghX+ELkKYwHroch4C/MxlUQOBsap10OB5fVBo/hur3H8pIN677kbcha
FB+NAoYSw2zrxJ3tp608FUFH5/XcueKXX3UOS93iq1qgJ6xyNi6Ik9KP1GoorQxauorllepGYL39
wBUy6ccwuErLQFxFHbYBjmVAwLSrdXcadYzNTu7iIHc9xrxharJ9CjPiOAYx9larzj7RfkWHcpzK
E1Oyd48l9CQDuIpjSwO9bS80OORYUlW56Rm+trUzIuy4xT6t2U1BEbVXo61uNR+A2xSaAH6XvsEV
jIsejF4ICnrQCWHBPiddDlkFM0e2ISBlaD4fBRmeLt1XrazuMROVdyVg5k0vuTXitZ67iC8zu8V1
TZXB1mJpswKEy+ViytQtuBy9Q6k+EMqQ64z7Zazz8a5SnXgWVQkRyoVcjalHv1Q44tZ9SpHDQAPP
NmyyeedV0y3UX5pMbc8oPMhTeGR/7cJZxTU6cEKFYhNGbXqSktqwukuDZSu6ojrjcoPjNOB+WtdR
iIOSw/sr0P6+xSH3jQs8v4sHFMF+qMK32hqCK5/t2avdqvgTyCsWO14g4uo1v8Q1bAubFE7+lj8x
t+4W5fg+qnjDXmxIdPOr7HpxgFWGVW8MZ1b3ZcIeiraS1RBazcFXyfCEdJn/joxYRlYVs/U9GL/S
v52cMYgLQAqEtYpgKO+7DJMyJ6k9bcDExwRATFN8WrLvrmdCJiko7JAHWDZdMOOymfNxVwzcJvMs
CO8BhlAgKoPW7Iw3Dsw4omHLYlj0R4yZ3BQ2+eWZiW0UWJvTEDjB5OSM+YY7kr5qfo6dnm/trVcu
Cy2SlZHYTCCvI45/e/EOkBAbl5i/g0/brjXrx8Y3WA+cSqrfPXa9r8ajzHXj2mE+bwIdhMdwgId8
IEamY5CaCZfo0SnUVxCz1UhRck561OMZjAR8OiESLqZGZpi4SpcUqktpMiZml2YF4zgPYHgHCD2B
4EiMApwSMV4+IpWNZv+UQnz09ilCNvW+RTXYKzXY4tp0DRv5fuD21AfQkXe1NfUfyNlBv/9/onz+
5+vaohmB/PL/mZRzeO/m9+rfqqN//z1/orO80BfC9z3JwvmnLutPdRRtD0GF6DXiJMPHn+qoI/7G
1lUpKDYXaZRKnj/VUXrhoe5Qv4W2CAGG//M//uXjr/gY/U///Vf+CSsfMt5/FSlZLSPqMSg7rghC
IBD/NgOeSzuxKTGosLwihhHbHv1diRFyVy3sqOHXmjdm0OJY4U/OV2FLhNqbiEgJUBGHbrDDIyXf
PWh+/ozN4Gfhc20CThtKfc/LItyn1Iv0DUsZB1usk/1Bw4JzJt85HSv+eVAlQ9AaaTmdL4t49zOf
Fps+kBYzvaJB9hd2Hu7EqVVW3xiM7JsuUMUvQmYj8omwr1jvyTvdOpCu5qHa9AmokbjhHsY6PXsu
Aw+LrRVEzwCfGamzcpfOzAmAbYc1Ls5wC28+WGVZj/zg86TzQO6tncyRR+qAOFZiKPiriujGGdd+
tU810WZ34lLptCbfOsHE1rdHuhymrD8brMgc2cEmSDyWd6kS18i9zQ2GcutqKoSLeSIZzi6b+92A
A+hx6EV/g21s2Wa+qs6t7epjXGi5ZT01PBRV0h9JHaO6FiT7cuOdI47tM72mw76dTPgmMcVwL2Pr
F/u2u7Xonb4tCqc7eJeZru+ay927X95xvuKVTLNmVxe1wY1wWXnRUrWNut674rFvP8Gi/K6qviGk
3nd0oExlPr6Jfoqf+wtHbU4i/SukUp1qX5cdjBtcmFzcHeBzzcSG0qMS5tKYjmv+4pgD8+X+IL+C
xZ9+Z7TWu7sc7ONdFZC+TNFPTiGAc0qaIW5sXB5hKb0EYbiZSRfiIrMcGh0sNO0a3vJSXWM/Lb/l
BVQWDdLG3l9L79DhO7wmfmpto8lrHzHVF+gWBP7wZ37zjK7uoR3WV9aknBvmmXhTWlX/wrM73nJ2
mxeY8ulzLZBMNXdIW2XNKRtG+5vUkrcqRcYFKjOtqRHy5unetrPPBHS55/nRTdMtMJ4mPzoRXvc2
ZqwYdXsaEyWeYMfkOHCw4w3QQyg6IEOdLnq+mtrFvyWVuSfu/TQllcRw4cfD9dDa1XsHDvYw47Y/
xGmQXHdzk2NdKbbM8dGhtjTO4cuwf89tq74d+3Fm5aimKzonvbfE6VSwzZfBeiWzlz7HTZEfq3wc
fxOOEcg4A0GzhJBWrYPgNDqt3qQh+QPl3aeTbB+cYSrpi4dCnTlt++xNTrLvauO8NUMTH5fLuMnO
McIIX+McvXFLJ03gZrTNOdbQ/1auAyydbDJ2eb9rbmnR0Hdp0DQvEZkAvUpKYbhC2BgvBBaJXYZw
TpBzztZR6coHol8SWZ7T4dZ2vOnQTyA6ebqXoOoGW47PEK38K25ZMxZKq77BGNquoKfbt+kS6Jum
Ytrtk7670oN/GX/9jHyrahqFnhSnwzYqevkV5Z38CtTcfxnltTespKZuQyRokWvPHqi+rCoi9JXW
9ABTzjs+QRKsWiDDgaCXyDO5v+H2w3VuzvBeRE7mnVonpPnDVIDr7Mo327pg8WiilnOw9nvhbRqX
C/m6yrAv9YhD6W7xreDcBxJvOflE5813GfWRuhEOaSUm1gXWOrbQ5Gka6bmrox4QEBiT6x5n8Kvj
JnG5xnFm7idrqD6xvl4U6iq2f7vY8zx46jp5mxBCXdL7OfOpj/cEqAJId/8NB3bPbZ2I2pMUtkdu
X46vLfee6opqJIfkh1UjZI7Cq/Z9GbAHMiFzfVyTRieB3/ivJvFKLq8MC3eigaTg1PPl0B6jmYNx
IvK5hoA/7Yw9zGYf2IJ1UWWH1ptKJsRsfD40WsFbnaYbxV5DHKiHZ3J2MOeexwLawRb0FIwtGB80
V2hrzLr9XAUYJUfbqx+xK+FrGDHdMfgiSP4huoXdl8EAlpzIr9j9Y5MI6+R3S7kz9JZS/AjQGkZU
W86PImb5tHbt3LylHSM6HkSMOavRjG66zRF71rmxFBkR7dGFHBUyY/RyyNLaCPVXDNrqKGWPMq3R
6L87S1UvmHw1tgg9F2v4FCO31KktHtLcj14uLcM3Reh+E9LrSMaFD+40CXzTXuz6q6mo1c4IuvKM
Z6bfM2QJjHFmUL+5jZMuj1kkHYWKMS+lgFn2sRz8hwj3eXAX5xFxEzZ/Essp8eVdmBE133Y+iaW8
uMCBlT+rcY28kz3hnZ5OwGjjZ+GmZGIoqdObhkXtuBoZ4L7YW3K3DccJQnkK4iaByIXwOmifueCS
t+xL4x0tq+Bz3/FBeG3QvX7NvcqhO/s2FVsSeiurIree90sUDfsITMiT0Sa5yREOYqRvkaXbSlXZ
K2Y2vme/CMorll5utVkW7rIrnTAmw8dqXwKVle4xpTYLJ7BfjtCeQsS6dSc0OlPFD85yChImltB8
g94QF5+tNYD2m9psOVcW6ydovJKaHVy2J85Q+S5kP7+MlOUeC/Z0+GepyeHsZfsDqrzgrs6b27yF
/P57PTgY7QgBY/L0POsNHWI60Xwinsqq56E3TB49HFX4HC8TmZomLO6RLmK9GSdvoEzcKW+cAnzS
qo54ZTl0KSyO2LmsQrzvz8PgzoAzUqf+beV1cwzZe2d8RhvnkSq3YFhxKlp/kBafYSBgi7wsRy+K
uh0FXBVCQ398ioW82VvDQA4u62eYbVl64ZZnuFxe+7JDXq1E9eUnbCte5Bhho+vm0X9g35rEF3oO
r+SQLYbMSZ3fhYnEBthH6jKlxoTTor50yABnyf1Iy9u40sEYbbox3chsKf7gZzVlxH6C5nnUPU+B
AQ+0i1L3kMOAx7/v1DQPxu3FS5TDDLu3/Bw50m4t8dyAvGenaVz/msU28jvBHuq++rQLzbUf290M
+Jvy9ktXW080BxWJpyJCKEj1JHqNFCvxEsM8y7uCV5UEavNs9KXSY0xD0l0pP/cMqP2dLMrlZmFP
y2opcPWDkUXzMAbYpfBACnunOhnwiQfbCndgVtekYJ2LTNxwRkTe7B+s7IL2R6QmvjPk6TZbRM+N
VsIt16xbb5X08HLFQWW/LxKfjEW87CLmaHFW3cQrEhZ5ey3ExCvUuE16kCSQ3vO0cD4or+DbisOs
fw7JE/H6JnOy8V0//gi4zx5UYcJnuunrfcICjMOvt8/54mQ3xeyhSUMkWvbZmHkHnrR4DEsl6T8s
MzH70CV0eB2BgjhNbs88vNCTQXI1TfRvAktIaEWlne+iCcuvyGTOlRdZ8R9Lb89YsDUOPqDLKAqO
OM4YmOe/eyD+o+0y//mGRgXr7P82NJ6+uvfi386Mf/8tf86MxCBAt0lOp5+G239lq/ouTGWHzmbe
bfY/BsN/ddTYf/MFKy8oa07gUz4POewfjprgbzyCBI6aCws1BFf67+plttUFa/rXoZG2aOVJGvSw
72AQUfxd/8qVC01mjXkumYAoUaJgBCHf1IobQMI3dF1lmB5I3tgnBV/gQFK2P3JAUAMRlGFzg4ey
f3FH1g9A3JPsVTWoiagjVX0sIgmKPgxy0F4tLogdTQnBrUh6FRwHpcb0uvPa+sNdPHPSFaaQKyMU
O2lTp2bYxQQQ0rW7JCrf9shnhMPTJiOMwOSNw62IP6vGo+wtGALlbMCPd+TwCidpV/MwTdVpxJLx
xLU0g5HFhunaW0R0WjRwl6sgEeqlXUb7JfLt4JemsPO2Xnos08PFFwKzK74agLVerMaJJl3HB/rK
lvlyBo9FVwau/BSDBTG04cpm7SC2hDeouFNzYj+Kis3bLs/DtCDWv5BPymPJ3WakJRk4T55M0W3i
Mx9svWQxhOVLV8GeaMdivFVD6etrGDn0MtggRot1U+dcMlhjTZBA0J7hn2Rl892OU31tGyvVW0Gh
23U9Z8KDv6V5GirnspZ1x2xGr7d5EkS5Te0iEn3Rr6u0v9iGQ4t7gxqb/CO36oXyJGmK+tIHxBdw
Y24HgkXFbW5FIT0zvvuL/dNwmKNoPrP/De/s8XJ9o8uhm7Zai/rJdhyqBsBVTdFexV1+RayasIU7
dBPDeu7fY+1QH2hhTro1ijQOvYMTL01A/p4dbqaKrfG0/QI63rygJrvDbuSCE6AlMG6QAvJpB6EF
8RG/M3m+LGhpyGtY64xHd+qhVUe0n21wxKK2eT/Km7mIcFxC6oN3Eeb0j0Y3XOQ65EiUOzAfGI5y
0puX0qQE6R2RLzZSfbk/yl+0eMjqLPZRBHW0hEdwBdm8aX80Q3ORD92LkIixGU2xVIL+YqjhxMHU
j+44/miQ848eOf9ok+ZHpzQXybL9US/Z/ukrHSxTvnF/9E1IZIyqEDHMt/pRQJExq4jEyUUZ5VIx
coG9CKbRj3YqnCq6Ly+Cqv2jreLT4DM4/miuGOPQX/FYd9dtofJP86PP4nwgYRN5pttgO2GRvsI+
Tv8wn+jyMQxTiEKsrKgFwwhtsx9jp5A9N0t4Bis4bRF4Rp87tQqbk7DbkLejIibmj9lBaJE9V/YI
Y6Wal62fust1HOr/yd55LEeOtFn2XWbdKHOHcACL2YRmkAxqlRsYM5kFLRwO/fR9wKqe+fsfm27r
xSzGrM1ywUWSDIZw/8S95xbsWZkW68mO9DbNR3+8nXHnygcCFOvXdnR2cBCck/SGERG00zXZ2QVD
8RQn2b4rzDwAKWfRfVW2q8kvz7xb0eMgYTZK/Bi/AAYd0HHCG386dE839iDxd9AZlP3ZsqN8fvXc
gPtXz/MAvseZJ5Ufhh7vFLvCIUO0UmZ5+jOydPI49pUiEgdZ+I5tDjyTcS6q5S4lJWfeSj4y/SH0
GiV2rDpAOGzCsCMeToVLv2CKYRVxaxEc/trNHe4X7XQeY+2JBVNGpAb92snqZo55QpYSJFxx7hOf
ZGn9WU/NdWVW0ofIAfbgNUFJ5bBtJaeQypW/dvMvXkMwdd/0ek9qSHNv7KE7yobG+/vG+u/L/T8J
vHclONr/6HK//UxgpxtGDv/uhv/7+/664QPxB+NJ5K/c03jf/zHt3v6Du5U27P+cCtv2H7h1BDsi
x3ZChKHyf93w0vuDisDjXnZsWzky+C/R06Xw1rnvP17x35NqdviYaxRIdp+/+B+veLufceHb1rSf
u8YeTrAj0t00YG4hUQYo9xoBxk7RD53dFK7pvMH3IlJ+7yQt30qx8WUEhlRYiN5L0hbCCx8kVpWy
MjDltJLrEtq58idYP5v2eztafG9KIwsX4IPXpumbhbMrfgJ+NdYPzMgKxlZIHtEVuRUnW1upyN65
xdi2OIybMGCmqRgXqIG9/CYsbTa8f4kMmF0htgR4EN9XXSz/lFnt7rNJ2ci68j680usOmXbDsi89
UzTinZPRZYSbSgaqIzPKG5zBLKa9dUctCXo+d8x3gl3r1UN0ib7X2rCFRP6ImuMddsQsj9A02Ilr
30a1M0bEcE5pwkkE4NHNbjDeSbMlWYFFu41eqt2xpXSzrY4zduyBVapD+72nn21oUlBFszS7M45A
aon+8EVpemJLODOJMCYYihO4wzE/t1PTYzWNDTWU8lcj9GxCohGnVXlgdzJnmSRcotS57XfdKlYY
V9kCKZ/1jWyD5GFaBQ8G5YPXdmggzJQzLc7DEpZDSOO3qXsV4KIv0jd+GpriIW7vI4+s8CuvaNBh
LN+aDLbb7iNkwCW+XdPuIxSLvRtuEKSi5uC0t6bDWCukHpESxLe5nU8hFPvIe7YCAKB1ahE1v2HO
GPtj38QRfM92msOt961BCZgG3VfTJKEOBJFhNCzI62QZCfiVxrSRJ3SoqFsMYuLwSlA9NdfIVJCl
UPT1wx7OUnWy4YF0O+nA+9vHi83X3bekxjhJGh3mPB+KKwGAYN4nJc06kZKNstnXNROlX2IVBNwj
3YEEp1/KpEY+FbftV20iOZ1519Hbi2850NBSQmGtrhktYAxcZ/ukXTEFXtotUQFDiZKQjOAsE87P
JpT9dMKNRoxywmQBJV2IUJik4Lg+O2O3jtubNr/p8Kk9tKl/TxK2ejGmn6ptF0FzoRJJzsE4Iq0m
FbAhYzGTjwgQzA/gfOo69PLTUNuMTrHDB/ZTROBGAnSQkMRnRmJow6TARbTtYXk+pZWzfJUJDfXg
iZZ5Ul8n8q7FxYPurM7tcW/DXRzwdMTlLTMoLIITwZ16J7Kh/CBbUt9hKRJ614bN3OwiEeZ4+T3H
fdZz0nAH25DF2MIETrcHCendwL5OGJjGc+rDD7Jied07nAkbE5cuLHjZI4pM6pktRlamP7qwBsHv
z+RUKxlbpHI25MLtamzdbCZE9GotRXRcmH0CZ6+rr6KxYKC0SXqII3d6Cwc+dpoMIv8odVt+zEXM
5wYXHOMFPLlb1y3r60oUw7MBj0lu1kwgZQou7Jy6rnOP6hQNgBs62akf6hKeLqMH8GyDXZ600O6L
LHNzbeZx5ZvZSbgHMlVED/mUQi/yHdQ+x5CFCIPSOPk54ZtiRok/lIgTfMS8PQr9zOrIuWJnvK5R
ioqJJ7pqspEiXxVfQAHbs8Pw00E8j7USfXz1S2OlDw9DwUzqCIgnQJSG7gQZxEj8HAucS6Jr6ypy
beRpQ1wX41MzgpTcJsgycP+wUGY+FJYaaQdm0/OgmqI/TrMD9N0sJCTscodws+1CbpjYegKM1QA4
4Y49dI0ZDXmXjCO/egkyY1HxTHxQNiFizF1k1Z63YztKAHppzc6m4NA/eu3I2zN5W1JL/Oz6Qu4D
u85QuOUt064ElK1B+cYRvq4s0OuuHUaqTwwOkVQaeOcc+3ncnanTwuqZIR49jAS1vB9cHT2WsyWe
45mUuQ3Rqj75pJ5Mx32By/RB9JHv4pKwmScFvuda1+5iZ59qiOqBxYvo81vXiZZtEHPkbIGNlPvG
ToXaLH3b30NAjp8Rp1TFbogn2a3TYBBD0iPxGfAHZBbmS+H4EtLELZxXMo2Y9BAqhODYVQ/FpC17
iyQd/F7aw7jaAfbmgdhe0jym3/sRzgb0oUghFABPWlgchAEeAp6KVO0rTrNwK/10us67VJx4My8W
Amm8JNNUNylO9RCRoQ14KDp02gtPFVSeLzWF+o1anLEcczsGcDpdfhHiBZOphs6NQDHrg3rHr+jK
LRur5UpWbp6fDDw1+tl01vMWpKDt4hten4SK/awY8zK7N/kyUyC0jvMJzmSVp7JFeZ4Zit/Wohnd
nconuNtuzvAVGzAyPnJEy8ukaihbQTK8jjNSlnymMD8ICwdMVooAVXqAYeA2D5f5eVhEwJ4mQ/VF
EYyS7wTHMfjtj+58IgtCXiIsyytxjZAFjGE5voRqjJeaHh+IrEynJLqDTkGktIs3PLyfUdSCKRv9
5BZRaPihvNl7IOqAZU6WThu/Kx97AG3XjD27ZBch+zk6HHK7KB6sU8YEclVU/swaUuLShjPTFiZ3
frC6CQpUcEvw1qU9RKRmiDBZTPUn4m+ZbLG05FdiWvfn6wUg0jh7mvE+bouxz2J2nmW2HaDHPFq6
8s9S+8I+Dg7dVhmrZFcg+N80Ml5tfOSfIzjEHbAhAR76rPZQsvrRcrb0wvRZxGiM3ALt9Y9EdvGN
GvIRqg3w3ImmGCcJYMBN0oxsdwoe9DGL65FhBfaFY5fE47WVjLG7FUCc9uR8zD4w8NS/DJCqfyGJ
i7/cUSUfiZmfLcnFCi88BnTrD+BO0qlxEaMrsVB6rDGALWfR6lRc7OHKrTr1U1tJI46yKmzrPGTZ
lXQRtDALCR7YgmEbzFP5XCDF/gHC2GAlz/Twpwr8aqQ2yO3yTnUJevckGy2EnPaS40gJoEUIOdYS
+VQ+/YztOPwa3SodXmt08ulR1bL+0p4j2ocxsskXsTPGZ2e3pGO7SUPJ0xjHYT9v3CFqvpwYtAXl
DZGDVxEKWcXtnMP6L2TNrqaqnOFJiwDlUJpbCBtDUztXUKLL5dFp9eOAcbs+e60e1nSAcX6gfUMe
DrrmFl1tekq92YhtMrX4RBOurK7oSnRqbjLV2zUKkmzwQHX36dImVyVDjnOVWekpCkfnTrhugoui
G+s9qugeKXFT7ENRxNzl1CBfqACmF6/ykz1TBnvn12jiOHiDV8uqohk5pQi6q4BIs+oTfE3YHDlo
w2cAh+5XP7CFAGHZVnd9aPRrPyFtzhB9y7OTz8WNsaE2bAsdyzdbuPIVI7V1MZ0HTasYYkSS30F9
XrmG9ok1v2+aGyITnLxxf3FBFjuuLKL+sCE5b11kPu1WR8l2GgoCAWMbzQHyTf0mUw/en/wOD/TQ
OABlSufqVcd9/Dx+Bw0GijAdQb34NP6VRNiEpBISza234XdUYedCr3Qt8gslQYbgh+ZPDOoK0FDy
lK1ph5btcPJ3E9lUZ41LUJ3EsoYj5t9BiWVR9dkl/Q5QDL/DFC13DVa0MYosB74qfc68NXxRyDWI
MV0zGY2v2bD1aK2ezXdoY2rH9lOarVGOtstVnsx589jOJoZU2CxQFFD1Apznmt9VS9+zI0/dbWgc
xiOFcQ62RVWQEiPpfgdKNqsUM2mDDHJYxoryrdQN+AB8I1HCxqhdQ9EcIW8btCj37siagBDrzdT3
6V6zcz2zYYRrJ5TZDgasVT8Cn+4NgnuiKn3M1E7ieRc9hd3jSCLPMSZL7r2ZvADCyspAc1SV1+AH
Q0vtyCBPV3ZewsyKqZb1wUS2t86AdrCn9U7pv4zOwKwDZpF0tmU74OkpAh8oIRftJXbX5qz2DdZj
E0JdTecpKg4100BeQm/5QE4w/rB5FGqXjYkAucvz3excpzFH12mnHyTpodpJZe7epQmeJgpcTths
GSjW+zY5R049/S4jPR8UkL4rchuW9ITfzb2laQiis84a+2dWN86ukLQzO4oMBHkJ+X7omkH7/Jjs
1RkJx9C1t0j89mWhEdqFvGId/jknz/Z8mFlgjks+/OTjq25MXuAESqTgdmeuG58iYuib3ZAUh1EA
mGNJ7ZV3tqAY2kdapPJswiRSBzpiAb8otTK6KtobtaXJXY7op+wfXscFtl26nv4VeaS7WnIYxtEo
hWp+aSODV9piyUO+sqmSr0G3HvzdXn6UU8UoLvHaU95wzC82qtaN9+1JJ0Nw31ZYXUsPKu0G2K9G
soNpAMaxrcwP1wLEGvuDd1SyTV6RmRYBoJ8myQ8Ra++Hpe1qc9a1jVjShNHKul3zzgJ4pWzfxxhN
7GDH1DVegqI1aIIw2cZdGn6lsAOeyNN9ScIQq7mXKVT8FRuzsln8A4JfQfitCM7YyEmidXV11UAL
vvcH4nubVql2z91cFPs57SGaR6PcOG0PO5NAcfML1qPqDqEddu3J7yrAKzLpvppuGe5wqNb4HGzB
XM2rYTVs7GkWn6gfxA6IhfwTQfLyyC4SkBdpGze4AxW6/NjdlEk03tYDQDE/ZKtYQKpA31AOp9xV
vwxhzPc5W3k07xXuzoQuydbiaLKCindQztuyJF+83bCklAxle5V+FQPLRkOAFOysgOc7o0LGO3tx
S6s5l57hAQ11cx9wDR+QkcU/qCngx3L4qSc3/0Sm4e3xu64J3hWQcFD/e+nW3lVeieYJsqY4tgHK
fA7OXV0b5yjTyv/qse6dItG6V06Tn5YqYBOr+jzbNVNTHbKydZ5ayN0g3APxM2zd6hol6fiJkhRl
a5QjbA+7WUynAjBDvOeQHH8tDOABbeVS40LzgpVeTtGlbf727TBa+tPLVTDvwZN6ZBmhP4NkJfc5
UuJjthJ5Ghw5vE2a/H4MnPmiUIO3Gw+i/M2IiThEptstv+fMMEjOqSC3nlsGz7On1M1sI9tQMPXp
iQukw00udjaV/O/Cmtpjy9x1vUzedYhNGG6l198axSHaqazOtg1rjehY1iHrZjkfdRHABOiSCR7Y
qhDMYde9UO5qBhQA07bTd8+Bk2OnjZf/GQANw2dQL4/4EZYPaMLqsaoxY29IPjZbxHprCrEAQZ16
HJdMbo5eXVyNdtwck0Kquz53kZGgoIfn4tUVxY5VugenR64c+513MxT0p73v6vexFUTazFhwhOd7
jyhHupMu2+kBzSCDI5GUwRYJxLtGYfRODHyzAzHXXhA3yz3zcxv0G+aCwoy7pgJYTkXj3ZO6ofae
n6bnRpB648z9yZn8C3L+cetq372ePVtSSIULAnRH4++DHVZgNMGZF1v7gcv4oEJBeafi8oaDKtvz
kQneyMNeFwWt1tvKsdMNCvxnXLPhcEzFMD2jSTOH0dTIm3XYe3dB7AfYzjI1346FNe45cYk6cMgX
mrtYn0HaNfb1JLOm2zNNw+yTmA8rC8SzpzSQaiRz5mUZQqq9OHfe9JSJo1/mgld1EadG8fq3Vdwh
mMQCftbTSBkyJvBjPQ8cFFFK/s+pKj6xtyFprBHcqW4pfw+zHx05H+pHVnrEdqeRdSkcjTk3Gt+6
jIu1R9iIhRwcyhFl1YDkekLIV/iXhlwdMohoB8DqEUzN4Tx66TU+6erKF23wW3TOvRVRdhs2ORRk
0XyvXKLVJgb6W2mIFloHJxm2rGOCaPRKTQuzqble1KuyS+8DoOxWGAzsQ9yn177umuNMv4H7gMIW
Y543/1yQFLzgshV/jm1v0Q+E3n2/pMdMeUt3aaw5H2+Tgd0kPys5lUvxSwO6MnvSzacTpff8ZxJk
5X1uPPuEE0/vW1GC0xb5itqcASMEHVxzQtASKik0SzblMPl1uK9IGMRTOPYPwikRC3isSZPivzUD
f+E0/pO1AhFcgo39/11oft9X2efPf6Rw/P0tf2sG1B9r0pvDvgfuhPpWk/+tM3fQDFDXoiSAXazE
Kk34WzPg2H+wa/D90P8rjfUfZObhH56Lwpxv9HyllPivJTQH/ywZEL6nUCxgaHY9/rn/FHsXx4AW
U0zEx74fzKmVef9ZpYreI3Cie4eoputRC8jYlPDX1UC175VVfNVOQXbNJh81oucBfa1m7ytsRQWD
x7cOvhTuzh6z6drKq2TP7FhtWs58OjxIrMSFfqreva+zdIc9ct6oqbxGzsYokTzEjV+TeNWG6cWZ
TbsdlvQVnvQXeeqof7zynJtGH+G6ydXonU8H3fT+liljCmPfly+Fl1oBK8akODuLW91C0VnuKumX
vwCsMhAOCIYm3SY58fvGOxZyFrQji46tUW78agsc3yDIm63LqpcpaZT/gCDMOnnhtxKngMMS4VDz
NQiH9lnX8ZtbmvHKqtZkUiUZDlflQ0Ny2ifpdN05k3N5NbYBkZRWEMAdRcK7MabGH4vusr9Pimk6
Wbmqrut47AF7GI+1c2UzDEBH+4JvkBN9ojAHt3oxCYYt+OX10Sr9e9uthhdE6PFvXaTte6pG96Fc
NYSgd0I6GE1eUQsHmMCM9GnISht12/yK7lTfJ0zAnnABeVfcef11V0YpGrCgeh2hfnBdCNpFA8Gd
t8aW+yT7ZJmaXtBY0+3qVErqRVquJwLPyguQVggqUbDltOyBgij9riiN0IjPzS+1RH8S2BMsOz+c
3hKM9XninfvezvdpI+XDQKG5TzHE3mf+GL67ampucD261w7VEGTfpfhycwGGM8f8jtgr8S5z5VgX
ZtyB2ZDa4v1iwaqPVA3Uc1NCOEfCEqgUboR0FaIvdrNy28lAMjqz7Fs9+7+j9lra707Gb16FOU/G
Kutz4RmzW6LK95id9M0efw8Jn1SDFdJfWQKzUnV+CZPFHEPY8y/2Usg79IztNnZr+mSzzJdiDqNd
LACmz7YedjGFwhZ1MTw7yQuEHs0Ob0sMoJD76sacRBJBvqvwgxWW+hO9KwpkbFJ7zUL+oDo9bROG
6Vcdy8ELkZgvTHT0Lsw94sxSPziYufWfQyBuh6YouUgTC+21wY269bCCIxSJ5T5rEXlriM2HpbKs
7TT3DPtnpv+qr8XeXQCQx0wRb0v4yujAe/9YZKK8KlHD02keSxILNj6GgtsoiNydlwVbr1Or0645
LjjhyA/YtBkcggFI6kiArpfMR8kW6jr2pgB/gMgfmglHemPBbMxRjbs0igfaGXW0EW1eo0UOPvKU
eBv879XwQArT+Kiq5oMknp8Ezuy9xdwgWvmVYX+9X5DanhqrdQ8gfCMOn/Unlm3gbEc5Iq+hHjTu
YwCIBrAFcVqaodxTHCLvwWtWbaKU6S6wly8oLBfslhPgLDJXZK+wqaqmf0tgSm8E0qBjmytx59dZ
R3RaJa9FxkibMt7d913j/+6CPDrgmXZu2x6aaQJJch8BwnlyfJtndaJTdedwAkO5OuS9mjHFUqxI
33kEQ7E001tcRsEVDMJkX+QwsemI6vPEanbrI/I9DgBDr/LaQw4ijVFXBlrtEYfHch/Ei3eIfSJU
Iod+Z4bigyeWV3vOvWTrLfT80loVx6GmLol8PBpz7x7tnk03BHh2WRmGfv53PbOuop0vMZKc2S5F
b3PF6AvgUnPTheNwFnqqzlUxBif2bNXP0as6OisAbhi3xSMfcoqYNEEIjc5CUcHZo/MCwN+3V/Z1
s8+rqScMCUnKhZoVZ2WSBs4hGzIMvhFuRwKyX5xR630zp0cLYcaGJ+JUuLW/48Lw3oeKwOPVn0cD
HkXZNhnSCpnsjJdjQY/83sblwiggyLakgXWHus5w5rVFyMJmbc2cNkEQHvZ8/rvZw3XCtLirPHFv
sNbkood4GIdbZnADxnH/ps9AlgAjwevguNfZgqvPJXilWobp2qu5u6mn3O4psVS6K/vxKw+c/DTW
a/IiO9CEaI8MJd4uz1igLmvflxosRV09LkcHCMgR78T05DG53k4RBX1fLgNYxO4hGfyXjF6H6Ts/
AGt/M783qOJR7EYlmtJBgXQwC3Z5gQ3KgGU/dsIsrKOi+QdrL+9RqGK45qdvi2DAgBN/dDmnfpE+
O45/wbi8x58ygpqMy73pLMGenLiCZDLYWFCAn9kYuld+xkoj4i9/88rQ+TBONu5SHeRX3BLAuqPm
CW44in8N0Bx+yoCgvkyq5p0tGIkIGDfu/HJurmvL736XoWtteOeu1+Cc8qKW1cF4KsQfYsJHo1L6
/wnslujfcSNcoqy87kdU4rKMb+s2sblmi4oxaoUjItRpzZ4q41BFDsUcXa8eTnPjsP8pJ3ZIJE/J
jZs5x5rcPDpnsel0xtDUykuQPKQ9tGscCdpoYE90lfyv39LMoXdgfsazWBi7fXLiUd807C0mB3O8
P0fM3XKCzyPPvva6NqiOw5h2ii5+7D4XrqHfiI/hWU6iuJdssAew07RCOx9twTP0gO45xxpoYUnJ
S1C9pJM9oFjqdnPjtbfAhRMkbSQiMqqYxStHD9l9pKAcja4MbgowVcKu5G5ZRz39CsnHfaueLISG
jJ7npUSQRyO2cxLzDHKaS1oHd4Hl9c2mDKxXdrRQZmpKlFg0v4tmmp6bkimxZXx8DW7B7e04ZfgQ
uLAEYdjWFbZWqM0XNN8HtjdAyZ3+HdPvC1YNxt5V7jxIL6wPVUgAMtdeeFsBBUn3syj898wj0aCm
rIi9/FeWuEenjk+LSa+71D/hg+oB6zN+2y1uiTtmVaLvY2aDBdSEOvOI7xH6xFzgnqXgYy6SX1xo
r2M7fBnPxUSHjZ0EDH2IpQucOmt4786L5N6lCosSxALK32VqmW8b4660xRI0+uzqS0SIXOFFccKy
0zdrekB/YWC3bPxGM6myTNbsMk84zxy/wc28GLSO3WC5hCKEFVYSqk43uUDCSq8tSCS7dBidE72u
AIwZzE91ViwHdxi9e0kwrFdmX25MAVtObg/MAzSGLvpblRnMbQnbYeORRYYYElI7wr9zZKeruEFO
J0IHxbZurU/AWs1p1kVxg9+OK3plrXd+jajRqIkA9cS7MWMEys1y9TnwB/vU1CMNdUTUgzVB9s8m
/3WIOP/sgQnsJp8tdtldFzy2aBDvwkiieMnqz6CoeLxh2+xHbh9WU+pKM84ihaF716r9ZE/t7VIb
owoZKeR05BmETmm9eQAE3qtytPYpS/yXyiVdWZGoxMuRsibjqfs9WVG5p6LEAjfP8RZ7n/DYiwJ2
VTovTp3WJ1oLdUIroXhSy/gmii3miQGXFBvvndNV/VuTdPrGSwPQq2ktMV1p4lVapa010A0E/5ib
g4x0y3uHPIlkLqMtG13roHw2rwtzq2Mz9NFLNSf6gWUbeSDkWLH/aZyLSmGBUoONj7VdVG9tDAzb
QQyyym3mR2Y/YjOkXfFVlxKrfqqqP0PAbscJ2hjAdyroxs/cG5whxKvi6Sw/UzS4N8DnYSPLMbCv
wdakT3FMlQfEVaevhh0VR20D562PiKMqhDiCLRAX6c98roeY2JXEmKuIgMsTSuL4R+WC7mIRZu9G
ayy/XN2HFytovNdZSuYI3Qg3y+nNB5ug+DGH7/RUQ0s5jwFA+k0m04GnHgxyQycAfAO9kjHr5Vol
DyZzD0vrJRRsxrz2ScSg2kzjxXdAOatRVxfXdOa6ZL61xyr0e6xGrHpLkyiyGGdKt8mJDvmigg85
tQ7hB6XzOC7K7KdO6uvYZIr6U8Fv7DzvBy2r3i/wLH43HQqwkAbwCuJpfafiNL0MMklPnssuuyNs
41zjpebWcMPDVOlAbu30PrfGat/HVOYBS8BzSjYL0Nswu9hLewcly17XRIZddVeeg4VV+6bB5tz5
AG+8sc3/5A/V+yhs/Oscv027IVEaakMx/0lI668O99YmECiBG5SfO9kymeO3MNCHjETFWEXXxAlf
BmLqtJbhrY0Ud4fRb9ia3Evf2AvMu3EpPuoA9g6LYv+2IaSy9JbsUIly3ta2Ga/XJh//TvVbj83R
Q1V/XXfhjJ03CXfNrLPXJLEtqJIIunYJnznmzAj3mJaBeexbif6szplg2tULgUTMemoxvMbCY+Op
xROInegAyBcL0FHmOj9H5fCQjWrnxyOHy0xJLsQBjc58maNFHyAzT6tW9i5zzU/enrhmJxJkeybp
O29uzU532qfnVu6xXSTRorlYZ7wOb9QiAjDZAtPoCR1YEnGJOT/32L4RB+ogPdQaXM7QWPaePi86
MbUqdrmbtg9DQz6USIw+DSYkysTLSvISTHaWQ1NtNEmgd/0yu0egV8wpvfgWMjaKXqrR+JxOPRuH
wuZoT/LMtokLjEy0WUL7DdwI3KCAAWmxaprrIt7WjZVvKXxPSX2TB6gT+ngYb0qOQhRl1jQ8GS+r
PiAO8eFxEhn9aiPSooiM9okgIrWOmB4xZA9lK63HyfXKrrxq3YGlOxgetJS88BfCqqtL1mXyBzdg
ywCPSfeStDzwLNfgCVOMRFtphe/ENUavNmKovR7oWzZdOtOfEvkFbLvN5VGVYXdk+a4e22rKzzNL
uivCfz2Ina577Ae7/aXgRuJ1T/r0o67D7tdU4jo1TcOHceDw5KkJryMt66uOB3lC6z5vBgUJI60N
Zii7dd/ppcfXoU/Lp06PLtFtNpNMWdUs/kV75/CaPtilzYNhL/oa2+PvpsjsPZ1Qek7EIO9myVf9
FIVb13EG5gaexsxQWfKO21buS3eNAY8S8CuzdWNlREjlSA8OPoXFJpQaODM7PBZZCFIp0zM+ttjx
/Ce/mAhtKW12xyyZbjEB7O12RQHFHifWEKcnxDb5OWwdgjC6+hlp9yfKzttlTi240ulXnrvZla/b
23JonS1UUpz/zvRmaH5Y2iDckvNtH84/al1Z5zRLkof/J3Lq/4/Qwlwk7n840Xz8JIu6Sz6rfzfU
/Ou7/h5q4lzyFZYm3guA633mk3/NNFX4hxvQ6SpsTf9G1fi3mab4Y4VahOzwEUtjkvrfZGHb+QOx
BCooz3GwSgnvvwTPCNQ/i6SljZsK7Rp+KN9hkbEOPX99PqZVbP7n/5D/gshpsiqrMwdRqrI4WtFk
olu78Kj2TFgrcnkZ6KCjRTd9DLMMm5RWOK53Jc3DxbQhcZqlHQcEtuXOYSQD/UbpME+3dDo4eXyk
x/Ai6YoJqO1Lu78JS/zVfuZA1tT+2B2RXjGJGwakb6CALeLDUze67Qm+andpWakr7LUNWLq+LJuj
Aqv1gZMT5JB0JtbScKGoAPOa2NytqKL4BvyZ+gkBgHAfHyfsNITB/ZKTeKYRcOzZ2+bslshJa4Bf
PA52o38NtrAQlUxF+SKKSP0syat7t/sY4N1s9xnLXsK1EpxZJmaW6WdvGICRoOI7h9TZjH4eHP2h
nJ6MEP2RBWdr3whf9x+gPiIAYvP04QTuhCOUjeclZVArdmUlM5R9VccGn7BPYGZFZznLTmUxB8lQ
In7bDK3EihoTynrHwas5UCS4jKaWTvwpKhIQN2k9W/l+zPWquHRZpimXtKKgk6TPd2NCxpKLBfds
jFPg2yqHftlZLLmc62CYTXU0FdCnqxotOKGB1JV93zF0QEhs+AM4r5oNKaflQWdV9tPp+vxmydzm
nvmc+5VIOb2wGkOe3XN/Vptx0tW5QeFWb5xmBF9cjM1raariOCwBzLzSw8YFulkjcRPg1F6TPu5e
tW5yNpVLCAxdL279KFWc6T2PYHodxq64h2eQPOQS6+ohmrvwlKSdOTpiit+zeIJVg+yQAR/r9J5o
jMDvlzfGTkN7VnKUFtFHkyUPvUV68Mlyh+zTMwNwr7DOY+da+mhTNh5zeF4zOeAEFwJRhl7NyZCL
ZqKhXeRbNImmizYYWRhghlxVr71aIfo9acwfmeqCmywNcTKnYRv1+6GLyoY37GxHlEJqZMjUokM+
juXqc45Geu59p8s43wmgVkcXh80N/Zi9TnCClzwzdANAPwngqwzhdOFQLvdR1jnFI3Hk9QZ5k3NK
tXLuJXvM62kQSXssDEDcjYQG/oGqMb/2fYIWqQfI2WO77u9kRcN7YP7WndNoJspTTCuHDw35Pqxq
9RHGmQzwwWMU2NY91uQd7UE4bp3GLg5K2+1V4ExddmDo0B9ELYiQHhfLoYobu/gR6SkCS51k4btA
nPOWoZn5qYbAvfbHATU7uUGwaUC+bd06eOsh1RRg+ego5k66n//K3nksx45tSfZX6geQBpwDOQ2t
g1pNYCQvL7Q80F9fC/HyVWU+K9E96FlP0jItLy/JCASwj2/35Y6FS/gamEFho1H1dEh4Q9peq3zq
R0hYrXmoO5O+0ynl3LbhiNK+WcT9vsI44EyZckZItzX3gZg66qmVO0p/Rrixts539vWOjJpPO2J4
rMqAeGYROVgAQlKr3XKwPYCpg9UGqOoJSSrUep6kIwguYyVKUTdLzzUwKRXk1y1IHs1IEgQPODZG
LtjPwtQinJGl5u+EF6a/0HwM0OOBPOV8wjlDs//8xgFSXHASWttBh0Udehgq2EpI87vGiXF1R8c2
jzi8ovoSMGp+aFMu6Usw1RJLjnei1yZ45orCPZB5XJV5PRUbHibje9KO6aUCs9XDFmCNxBInEFvL
aHKPfXn3HdfmsHUCNVdkjwgX4ZAMdKcYLceXxujsE9T06ZGbjZU9URruf7qx5l6wHuZ8A+aHgwrK
5C0ic9Iy5LkOxrE0014r4iCXhDJTNHj0fcL2gG0ooqtSqOlOQG5cFL8aWXkcrqtIYI4xuDu+mIMW
U+tDhlYD+6kIfFOmxceMfAp4xiafpDjXzkhzqF9YTy4ABBqueiyNtFSRElSqoccvLsKjtKKPoDGy
Hc2qHHBE2X6mQ1vSi9wBGlB0gLHopg6M21kGoq2iO6ZPKNMktZ6KNXk1+nJnTsguojLljo2AAIAz
jR0bj8baO2k1vTWk/sq1gaV0bZRUxO5qvzGjR50KQIs/60cvqA2Q/drQTTcej/t9MggK6PDjMH8S
BjR+oWM6V+pR5IemddmdGI1iI2EdvaTB4EZ3WcgSiR+emW4hrT7/oGp32OFsHOSy7Uu8zq2NfTqq
C3dNCAF1vIOl4jwFWtv9HpxIZCsryyoMu6ZDKhDaS7j0AaosTbYzzTIa6BGBCuFka6ygmP6tbnQr
1gP+XVtjRSaniBF45TYOdy1TM+xXZdsmD+7Ex03IoUhkXro0Pb9/TDwHgIQmxC6AMfxUZHPCwHC7
dekDdfETsFpqRHJZBFkBaZrIAcf++XOokR12cs79tbw2lf3QpqA0pV29FgFtHH4whwFiuoALuFrH
CEtUjj5n/hrCWN8HoefiNcGA2XQlWKUx+khoelj4lfMDlOeLgkINkxC53cYPMsRoJGvyhsFgvjYJ
B651UXInXoSWouaebWgv96ZtofUiecXlvjd9tD1LKwoTpr0N+CJIRxgKgZO2tIDXbj0shtD9BXSS
4hNhNMZLWLratCj1JrKovUzd4TJx+fzyYYpT1QtlYWmGadbMR7mCEAhcxMnT410SxNpaUDTHtYL0
TOeuuyJCh9KWgrHaF00KriSOnYfEokbG6nyMpphEvjM3Er/dyG/eU5eqpmEa1ZdWQfpHWjCjVa/H
lEGZlm9fHDYri9yDYc8WIcVdDoI8wW8UF5r2bIZRCuSn76Ji6SZtla9EFdEBVLnAyNcZFwwsqTIO
xzVtvtJYdzPOrJzBZhWW0miZDpCj15Ak4KA5nDH33iTVjzuz07IbRs2ciWpZRpRhyR2hww436O51
uhEYprz2zv1EJa9+ozQ0Rht+ZaUC3VDXGn4TWnG/StHYDCpeMX7oN+DDeIM/sP3FsNgCDnS2HKaA
RNCCyRwKs3raZjeWBF2L8Zm0l4Bcm0hndsdR+5rVdOiJguNtARPkhSEKXkUCTuBbVWP91lKfcEhx
EAJJppoKBPiYDJegngEYKft4benc4BhKGvG1vSEzpG01q9LWwmllJDSHnjiCZfipZghHy81u0/f1
/PTjgJ7yWJ2xHWImeFgpH9PlgJkBxyL+w96biheJlcxZWm5U7F3NQRTuqzbe4T6p7juse9j9AwFI
pL1BRdgPjdEVD2hwHmJVs8/HqPbJeqC6F2VmP/iqdmiWEnbDBgT2K6pMK7hOSE/wO8u01Tedilf1
jEDpbjQUjcH0HhZcf2xvyBSwweBTuI1bL3QrTNwji3As2WjnSbV2wxnBElhx8SPqDFN/csO1BIT4
QLfcMC7+THRhUPAfAA+MwQlUFiU5RTXzXzhxsEZJQF4B+qlipBVu0NBjqPtpXkCowZQhN9dcWwj7
x7ztSLQZaf0Dqsd46BOQnStjptOEM6cGf6L3ImZ2jeg876eFSvw8am5/dGfGzUgSmpXMjL/pi7gF
f28wLphVI8xlBjB4S9cnwY2eTMZez4PxlVpobNvtDNnBflI2hHBMnJdBqsfJtkCPxz90Y/YEJLNp
UqX+mZI09m4uIAbgODv2DeB/biSgogvlHqa0TRO9jvCFJMHTbWGGYTVufZZk0WGaSUNWa47VvjVn
HlEUp5W2ar3U+92xU/hWNcLknKHIxVpxlnoxqZ4Pl3bYD7Wx1UNQg0S569A8RBJnG/esuIw3Fpav
Dh46ZR/aZ1ErZzfGIp0DMFNqxfswJ/oxLEmBltMKk03hvrEmMNwHC5wsa3muNAJsROctkmp++wnH
daFGcmKbvgGFAzLBAWEF/3470B21p0hVcGFOVAacsKyCVW2lSXHKRKsWlNKClAoWnCfCZhWN4/5I
TsxjJrhLW2OiYz2ZvECcyCJo/jZkq5+uyQa0a2iKui2XMusokoHwYtWswXKI99U5nArGoxIgBtYY
o8zMSwPQ1D9YhurCK63PrQ3N2/f7XaxYEwydld8TQa+0k2sxk+Dlg0Ow9YCcy40apjDas1KM4jfU
7TrbWbXPmr9M3FF9ZBO2Wg+7O00KY2v5H7hjae5whsBwGJIa6Qe8773AitwpxZhZkzxaGoI2rnCu
EtU/pN2pZlk3NWn+yi/Fyicl4Z14fFf9LnGN9mCOmVGvBZ2EuwJy/LahjxbvBFSgxzAHwryHshjr
mxAB3qWMpQ3ic2E6vbNE8y6adZMIGsHos9FWTdDbWxhznk94Dk/MhjIJnl3Qvh3/kFftWIkFWUgd
m1BhZ8kaUnuq3oeEcbushjE7U+8pnCXRf4u0it03bnmAuDR6Ox/LMzxFK3PCFx5StpoBEzljjt73
J/Y67lxpGKkuew5tUj9fBp/h4j5om3GV2+UcyKn8iKOdsru7uPK895jhbsY34QJYKX4dYhZ04U47
I2AzQ/sfG4K161uOyZ7AaTYOoQoCam6tHaMsefdiFiULWEzBXZiA68hMv/zQ5IBgnOrTXUwaIcZj
3a7qKIGBlXo9dLZJdvE2GewyXFGTWx1Fk5FWyilU+Y3hRhN7w6GucoXEMJNm03D8HoNayr3qDdYM
eGewiFdd+9gaFZkLO5Bzqg1PUicrjS5BM31oA8W9CUB2cgwGPrFMLT5OE9/F57uE6tR9KcdtU6Z3
l7hdQQHq7DzgXLOLFMQ2bA6AzBQFPrwf7rwTSaMAMdGWqThjEOuCFV+tI7Pnna6tqrjwiANn4UCf
Ua0P2yHAGl1x68fSiHH5GSs9J6YEdulnBs1tT2+6Rr2445+cMlVztH0y7EUaABpfTZklr1YayAd2
xeYWpky2j9msTl/S4OWwoakduS6bJ155b2fSgsLXF45RrPtJ7Us9Hz4DpQcv4xg1r2MVNPHWiA1x
6KQx95t4I+4210jfKVl2aF8nTKYvncLQM3zlVkmqgi6O9OK1LWadSaL2bzR+MeIxiXd0WU4S6Utm
BE/u+n2F/t94lB34drVqoIsROSdA2a16Gia4Y1eevf5/olv+t4ynmTfxjZO+jug1gl37J39i7iH7
23+sb51k9+1PPT78qDZt/om5nf/k/+n//LPZ7GksaTb7/JVF+SpSRKa/m79KkFLYNkrjf2/FfPrM
ovTfLp+/2v/iy/4D8CBRGSmkJm7ruabE8PinHdP+A1+l8GwbDfJPUfOfCCf5h+npUCF0CflXuBaC
438gnHBQCr7KNB1qqD1gwf98Ae7+wW34n7i//0r9hcsgXI9/WHw3oQtAEn8VLmsSUK09kLHgtn5n
sOBZJFr1kZn0Y9VMkFqTHEzu/rtWEfP7yyv154/yb4De74oob5BBbTn/5X9FS7jwLmwLI6gEI8lv
RP3cX785wpIe93zM1kaqTTu/sQPIkRB56kENi9mchmYRC3qxuhAAgB6dGj4M39xqA9DpQ0g+vjEV
zo1pGi6dxQYE/L515IQ/IM1E8lDVfPajWnlnGSk2oTWdkzsfHsFILoI0el0694zdVnIuOTAsK9t+
kigbS2h0/IXOVJRgGnrjahbsVClJUGdGV7qsowSnltVMmzmmSMcmma2LQwT3CY8Bs0uZyeme1h1x
Eq7Snhz6R/CBFt61l/SAz5jnMztHJDNNG5+BGrPFcSChGsDBF2Fqt1tuKdbRQyPYzjESishRxTFX
ahqjMaj4ZGc6lTg5VmWrVa1FLX5QchjyWDHHYXZ3pL8NImZYrFpktRlJ3Q8MdbFEJi3FA9IN1SyK
FRF3cI1XTclxN3axOjWYuzidVWF2j/O0I0g16u8oKYpTESVm41JnFCENJfr+rQ+CkP5qt88ec6le
20qz1p2PkdQTzdHNzaNHgGMXxLXa0a+JJ73SPuxW9wDxmINNbmGgeAxEJEDQJMbgbgOpbHZTNgyX
FnGINytJjh1c5W0KxmsrSEK2y7hyi1POumGPkRUFowv7p4Aisy0n7WBF88i0UQqFemp5u5WR6J9U
PVBbBxDVJ56eDdtE864ZofsT6nqwSQjPnaXG0CocKyeJwvPb0ZS7MxpsIx6fHJpimtY4jVEflgiw
mbOs494vsRhizEghtZJTL8094QZa4zRB9J4Q6wpYtnqlH8F9he6sn8u45JoOrCPEV+y483XeBBHV
tji0z3KsvaeOJDR43LZZEZlQa6kPCoHCK9HhKnIqvIPqycEE6i0sMiaPbqCoB+0wWtNRM3oaPh+Q
DQa4bOasj9htpbEpbeyOvMR6Xq0SRQBpHRq9lWxgLFOLJXsBKCuLouni5o78yk2/eYALxRTixA2d
nNQIP/agfn8mTlSPTq+851nUxs0XttpHHInhRPee+STxLhqroRgq52LCzUQoG7qi5hhu+f3G0LRq
a3tWDPuEtHPAA6oK2CkmQf9VjgOG0I7F6ymuab/+cF0FP9SxxqVH28jcwm3HX2qo07se3NKKFGj6
pCJh7fKi2qscJYEIwu9pnrbJyPQk6qT8jWhT/ooGFe/GwIrOYF3CPdE1HFp+icYeVLLD3goLRLci
HqntYDTPdi+879iX/l4rbPR9ixEgV31PgE1l1i7Rq7ha0cSozrR0h+tR5vWr9FMW1G1vYN6ZrE9/
6vJN2xfRb2EbxhpbQ/4Ai9TFOOEZn1kw2XdGO7VbP/R5CQdXPXOOK7ZpR+8fcO3sLYyt6qWIpXx2
XM/chwrdu+QR7q+sZA5vt23Sb0ulUtbmeUofItRUo/5Gw8uDI9zngP1vnLrms8DQQsUZX/lWT/7W
5yj02/el7exMYFDT2iAnP+0IWU6kYKN4XINg2bhjSIzDY6J1V3Fbs6sOdFBjSIGjDUVE8+rVEHfR
J1faQNM1jVPckGgV1ldaxN2YlCA+hxBjZ7xxyh6KMVC3jNBL5XinphyzwyQh/m4qM+GY4mrC3ft4
MD4szfJQ1KZuX+ngcpUkBr6Kta7XVnHeR/C8MRlax44+j09mZhRSH7voMRit/qWN88bZU/AT+Ux5
yXRv4FNB9IWrsfah43zm8VBeGqyZ4kBuylt32vhOiVUuqFTmhaGzWXvMW1n+4NvtcL0W4bp3BAVL
ettiBsJl3OBcHrP8jYsfczA2StbvCB6e3CZ+w+6otSrk0qrvIO1mTgV5r22qBkWwL433oezoYGnC
xNhkoZ5D5G2r5l3LMQ2vHWLRr8De9LcqIs2vV7QOR20Dcd6cIMc3U70h1a2uPQr7LwU78YJB1otx
djbADA1s7tMynfxiOwac25b8seiIgoyUFpSOfMKnayNLmHzoF4XZVBxsa36ALJmS2Uw5oTb2Rkxq
NUjiTFskKimxoLcm94uQNXi6LZIRSJ8fWC1YItiNw8a9dUdi3HY1cK48d9y5XJJHjw+2AAGOtveh
K5+TiCLKBGvBhrcMk3ZMTaWZpMMJ2yEPPLRxb0EotjmAKaFuKg2l1tD0meV3jOQteT8+DvgsHMyp
RNdgFochu3xHXmNMCRdGdQzwAKBO1LMgXiC+HDOv6qkeRPFZsJeN8yX+WeL83lzNqRkUxSD2TZAZ
MdHp8wcdF+PU1GId6J77Kx4zrtt2BHy9KBJP/a6JyCO/4R7EAztoG6Z1JiFvLg3Fj2CuXL1o7kH3
bmVjD3fh3DQKayJ4MRraR4sZC+jD96GgMBRoIHNPaTg3lqowCK/KmWtMxdxoms7dpt3cchreCk8F
jW+kEWdqAthCqS8kwcizO4Unwl5rJAseyG1FBlovKFN1RPhEz0B/6aayhvBoVslF3PpXyYNdTIKl
VCdh734YGsLSCIL6MfRJZc4trl3BCWzudYXdiAfKszfR3PnKAPtNnttacYS5wuHQaYQmB23GJd+P
L7Q3lFc7BzzGdMkmtoApWIYbc+6NZ4GRu3dAefBi2Mog45qIuZgWj3txJLMPENIz8cQUXFTMQQxC
v7O52ZakJURfd+67tUVso0LKCGASWqtOJW6Y4acSiUnYW7X1D2sHt9mabtR8t7d6k+xWddLVtJ5g
UtRPya0KpaIbj1qUW0VKiqChMIpkfr+fA0YzkmViWktuLEjEJMg8zdQu4VkAi3QCi+dhOTMkm5km
SQaJVq4bYnIeVexFc0NP6q4LZjueiZTTzKY0ySO/UNBNl17VRcmBEFNJFaRg+lrXM92yCjI1rI0b
9DIbPe+uUuV0SfSazoyZjnk7KepUCsAChJ05YPnVl8MNqZm49lDu/SEycb7AXeHN4wZeLuc9TLQA
+FH/eDc8JzQBUJ1ypnaS4QLmxMSOdJePM9hTH4r61GpeqNZjUBSncGaANjccKDtL0KC8L+y+wAti
NCBNxk0MD6qlTnU1Y0XzG2K0Zm9Cuy0q07Q2A20kKA4uM1/FNzxpOU68QPENW5owEFsba6aZdjew
KZwdtoNxJ0R38OyqczfUGDF0FCnY8w4O+NwKMDAB276+MEYzOdDXQXuWx6noqZx68eqEuo3OSDvk
wTDxBGYzknW60Vm7GdSKQ6DLj9h4iBroUV/1iHL4PlZ4+mpGVtLOR0A92ifYxGgARDQhqDo6Y9S6
FzSDsydxVbdpdJvlNO8JLNkQXOlrmnbxSz0S3T5NN+6s1fTBPi3qFpWp0n50I/YR6mZOrc5TZT8O
HNKXxQyyZTULTxO5pHnl3S7PALIJSE/AMvc0QXMEUak4TibeCM/ym1OGy5cYzY2ey6++HvkhWpar
5nApOyuFDx1S8Ae5lK7WFbwL66nRBdvY/+U8ZvxrMo9TpqfTtU6NnuUa2GP+fhxj8Q2CKTKbtW/o
KbuV4CuP8kcEpDfpZY/CynmwOhgLGTI/FAb0f/ie/lZJ89fz4MwK/ttpkG9v6yC5me50U9fn//8X
D03iK0HXiNas4RtUC20q8xMvfnr8n0+dtxPtv34bT8wnTp3vQyPP37/NqKZOQJfDZxCwTAKqWoLH
mmtGdmZImmKZdGVG5a4HV4FOGU2QK4T5tzDYH74Zw2jtRy1vT3aZNQ8JKZzz/JLR36yLi9YTqMCI
UkIsRQFdtjwXmzsE2sL//8TNn5uq87/oMYZtQLzkYfSX93xWff7WU//0k37mwb82Mf3nV/4pyxh/
3ACZHotLKdHJESf+lGWcPwRRVxPBxoC9aQs+B/+UZbw/mBgweWHwFrC3XWCYf8oycDcZeTzPMwF1
Syyy/3eyjDd/2P56mdqWJQ1buA6BA1fSJPb3yzRK3EgRjQkYQZoHG+V9l1GUSAMqfFhPy/qf2KVl
WLM9j9457MC4TNWmC22540khN16BLX7dcV3GcIt6616hVG8MIof7Zs42hil7O8cP7LMkmb9Hryw2
DVryr1r4xYbKv9jhryybL0U5mjrHMH/0RT1E9htnzvClKXN1roqag14rGuhmdau7R2eY3H3U9/SD
c9qlzRRIHGiioAfM3Zoa3My8/6ZCtuYW5x4ZKbs3ou7dEr6GIF1r2NHEM84xd7WN57fiFgC3rzbr
PYfi+DnPHLNc5pXdsxxLB69eaBAy82XOnuyaYGwtKN8zSvq5Nc86t74b5VhGHOs5r/Xu3YPYBELB
iZp96cX+E5tofLn0muPSxg0UXsak7nEHaQOF3U0oo2vDE+Clzq0oWSd1RLcj6sei68eLgdVpx3Gw
/y70LENST7lfqVSpa5MMGkmQHCoYrb3Wi6/38tRIqT2FiaO/aUWOisYKs9uPVddTCR7k61oG1PGN
KS94YA/zD55KFiv87G2IJFG4UDRaUZx0CI0czoc0/wIXAwoo1BmRmJYEPySFXgtdcqBM9Ni44j5g
+E6ccaTvPg5STlyyoY/SjraC+Yt9olHvzZCCqk71B3g8WGRbWnmoogwf2gEfbB8HnTFDFxi18VRD
km6n/jMIq/jQw20+c0G1sb+gXFvDbNyZ6yB1cFHX3qobFFXXOslkb6rtnaNl0UupClovBq06Ghrz
p6Y5GYvFobo6bNG2RVaM6H69vIaE/dak7GgDazP9yDvq74Wmqk02JfpHNU3TITQD/w5sRHweYy7U
mmDwV0P8b6PLQZFiJGhNLOqpqvpl79UFpo42vAORQCEhYZRn3Cj+Jmhd8zMy2vEYQUdZUq2JYQeQ
unRq9arr5TuZo3FhOAxHvE0vyuvwBuZtA3wEHkz0mA39rh7iu1Kg15MvtktCkhNjBwHGRTtgqgIK
1e4sWrTKJbNd4ixK4s1PfA6cM8Qi+8FLLDvfccKIDymrlTcFz/+JfXyRrAppSBrWM4p2F4QhsgAB
cy6Zr4gvgZS2LjovH0png6EOfSqiE0PCzMoK23zJY9e80M0jd0Y924nGjDyC7/TRb71Ly01N32yD
+ODTmZNmTB8t5aQUfRqMzGAEefsxbkPds+zxLjShi3KwwOwfE8xZiMkN7sqhCjg9o109DK5LP0s/
IsKiYHfvJaVilygy+8Oo55QKBZIDGSyoib+JJtW0a40HT1TOzp0qQC9+aXVPrgfCts2cfmf3w/jl
pVH2NDaiqHdUcJlfXN/R79DuJIUkllGx1htF+Gn4qYlyhkMVE0zoOIQNqpyEWAa/UMaZrDZJEVfb
Pqiwr82m023ZJvkV84V86vDYUk5qicckA5xbaxjzFrwo9l0YAfpYCbuiL7nGHbNt9Ta4Tn1MZpyl
E50bUXNqwjL7jrmEeVd9KV5Q6poTQVLJwDRVO1dyCjfQYC55nmELSGsAj9jFff1o++BoOagGR8vo
4pNBmRHnJssiiFprhvGkWXav1kA9tTWfX+fiJE1279aB/mCKQZQYhmwZHpiGiWWnmY7HiTXKdz8V
E0Va2L8cyJzVkjTKkljdIWZny2c+xkeAFbDD9KYVyTbK+kqtEzrFDlJPw13v5Rc9rmGrGJqlrUpJ
NXHoNcZucI2M9tWmX1p8cNdKz6ItYJCI8NGUP1KQw45TRSgtkXeFRxycoeq634n0onMf+MnGEMWE
9N50x8DOBJFYS/9Kpio5dx2wgTj3GzbYljM3EvEeisCmtaRKUIThIHIvyo/5CGcHgb3t106WfcFK
KdapodU7aeb2qxZWG9ttXwH/l1s++rQC074bViJcaXHS/TKL6CdWpbO2lTZCODPAYRYo53BdSPiY
1dZqLXMP0PEqNNNZ4QHS7g0tZ/s/Bfk+0PyDHtTYygp70GHJa+PbWM6yKJ1G9T3NChJoF3mydW2K
FeeKpylzhk1mcbApwvIt1UexT8vGWNl19DVLWemB4zAYsBLH9AqqIroeMtywaXyzezA6Mz4PnVYi
sJTNpRbi6LjWRzuUO9QDGgfBtC2QDVqc4IPBqUmcDLOZcH1RWEDQogY9Qx1rwWbYaeOjkBSNkeKY
RuqQrLm0NtT517Ywsy1gywOd3i1laxYkzxUpG6AZhtuwNkQxLJHp089sTDFmsIN4l+TJvCVCX3Qm
89xt89CoqACQWvVQNWm9nareTRe16TIndEN7zMIgyfC91cFKjZNcTK0mfzL4ONGaR7yVrM2yCRlm
tIDofN9G2HNLxXMgEoqSt1GoXC3Z9tjfeaHaq2M3PQj9UNFlTDbV6XmIeeCMlizfz0VBFcjIVoBb
1Rg/SaXDnvA9sIhLw++HFwKbvzwu9/fJsleMPWcrdNtNogBLcEOsHiKb83PBnl7eNk38UjM9Pw7E
PRLn9A6cA7w2MZJDLGuvx7UJGUrvofZIr+7PjptYX0ok/ge73GoRGM2wdj1607JMcza1LOvnwuko
+6aYIkXzObDBbu/K2A9eEgv3fYaP/7fUnfQNP0+5oRCIzcMcl4x2KQuYXZ9TFwAjqy5BGrDDXlim
md/xDOi3bZp0F9wZ00EwkL1EuDIPhEYp/2M9QhNlpe/LzGp4IDnWCUG6EEs8Wu4+rHmtLGTFb1FZ
+s4NGrWSmBk3KqvYl2eGtYWTsZ2a5Hm0kwkLQ7RyLAh0paxXQs3cXujdLrk5nKxZu277+keaPfNc
waWIWwAfCsdgbsQr4JTZCpfKCrfLvSYreSiK3twTNbd2UeYXnxb3syWIczo1VcYSnkKGTdlEBU8Y
MRc4ue69TRX8KfDBd+F28885WuUCxAd0qzQHhwStmOWeuARdexRi/G0Y8InYI/j6gIBoW4DPFLAJ
a0wWglHr4iWFucmDvjo2UxButYkDu+p5qni10T01VF8+jyaGgyEaqA4xhosesCx3PAgd1H3EbDIG
CmT6QK4pXbPR00pvAxlmCJdSDu98UXeCUjh9ASrHsx/r8YZ+vvxEd4l85fUm5mzabU6HcBk5G3B6
5toKdG2XR2Z4cHzHuS9xvC98FpxHDCDJVVhOOgfq/HsdQ/opw0wGLUVLBMDWxLrjE4paifxWnziH
ZPfU/lk/E3Z+Agh+fpWDMC5WK+xDW6fWD6hB72y3YBfZYEWPErzK0dJtwC5xlUfvmpE1Z26b6b5C
x1ypyvnGpurtKAyEQWPG7aUxDfcdMzAg2DjPEZ950DMXybg8EzDEhFvDAKHVJ1D0O1rlyN0Doynt
aPkGnHy782qiv5rljA8go9W0SijRwUPur3LNyw9yoGuDlH1+HbLwrcB2caf7ZYIFza120ikjOuHl
FohhgnoVVxsnmpNh7NJWY2iA1aDiMV2UfrAumZvgInNzbj07IieZWK86RxleZje7Vi03PObH4g16
gvXh5WlygJbNBVwrE4s4BpvFFLTk2hXmhPtAsADKWht/VTkN3/6YJjTj8dzzYeit4GF1G+XwHB8c
kASFUz3bTRe8uprPlEmfC5vi7r2uKcwMqOjymnJvQExhK9bd8USlDZFserHSrZaSNCwqug4ZnWNW
s3DL/juK+hY7eZkd4nrO3CF876VlGAdnwPQlFNw7Kln9XR+6S08n3EIIl7ha+qvvdO9X4JZyH1Po
7TLC0o7ap/X3SHbjSO6TDZEZpclG9HjS/Kwn9VrMYfup5+Uze/OqWS77tzCp73DS5cvQLkrKFauK
LgSjw+gCJCESMdxDQzFOVJ62azCcnzNPJwQQROOj71MqRKFL+pkY3sSvwmo/y6fwm8OY2Hd4PleY
h0wY/U31DOa5f0i6CQtmlUvjPXcK7YMeiXZTRXq5Y/N0S4RQWEbhXMahh77Mu5rUEM06aqVc4kp4
Zr1k45YjurtHlcDESa6LlqXi/bKwZr8RSOq5sjB80faHL8Zv2fZiDKx4pBQW1dmtXSyJU/z2GPi7
xjsNucffXzbABPNp5WFAZTzVD4ld6+vMyYjZDjty4E8uKvQS/FJ0RzKFDUqajzvlOsFmNOsKs1PR
7FnfN++VXnSfU4d1zXN8+0VDAqNwqfC/yaXz+BzbHAG6trwtbw9MgKxzznJKy5MNxvbdcf2W2ciy
9oXOSIslXOMpSDEQfglY5DtvmvnzuaGxXslzbvFVlHlbAc51EfYFnumRDtCNX8futw7530Tktehv
TX3nw7M121loupu8lIxIa7hU3qUhbvxWDV20peWXmKSQw6edhxnPjiQ3cCKORJXMfLoP8OQfEmsa
7jWl2ABY+E2XJOPEmnqNaT+hVDx4pC0+oUdEW7vuy7eS5xu3eEXRx2hmazvp2W/gssP425Q2oBtq
QOj6Ke4bkD9E0Iuu/tGB/jxpud07C9WZ6mxbJFyINMgC7IBw37FdVFtHid9RkgNzDkN8hlir5J0b
GDowDBlBMcWqUes0Ua5KuBXnwZnEofaF2GjjmL211Dx/E24gJMXHHQZWWlzmPoQLRT9z+h7M0qoI
8z6jxFiou8RpyivDNXRdfN3jro4p9VhUPEQfggKzCYgaK92XduZuCcvVj3HJDAs3P8l2mfDMFalV
9yQCSm4ryviebV1jTTIbmmnPmk2r2CT82sfA6E1dvO9zm4pt1U+HjPHsUIEofMOl3D15TKH3LUT7
TTnF8iUTQ3TwOiP+CpyWZ5HfTxdrskrseKUenKgZMc65gmhNONcGv5pae73ssF/ApofaX8S29dmZ
gImJTUn9k07BBMSfMw2vZoIJBkCVpxAeGlOv1oFXtEdtUsZaFizfFzhOps3IOvPMc7x8p6CsfOmA
kc+cew4GbqMWI0j/K+E99xl2gnNwa4tNV9uxatJEdmGDyogVNyqpMB5E3ZvhgD+x9Di80tAgtrUy
JodISGK/TwYwGYuA4KIp3RTSm8XUCYMNTmprVmsHRgWmRjvgrXU/yx4FJIy17YRotdFHzuD8Hmy8
2FR0Qi5t3+XuitycUL8yaw90NWQ7o8FWUWuEGGWqgwxIFEUhOf7jLw0aODGC+N/ZO7PlxpE0S79K
vwDGHA44lpu54L6IEkXtcQOTQiHsm2PH08/HyJzuqKjsrO6+G7MpK0vLqEwVKRJwuJ//nO+wXfJT
hwQSHMQc0pNZBfSqIfbyW7O9NfCjxuByT7GteLOSTo5rSXr8h1T/p+Pt/IcO+IeN61dH3K8Guf9N
VIT//nTJ/fu/89MI9h9/+n/Kamc7VxTgf261w17yrv/trN8/fzTRP7jt/vjJP2VdahGFKRkjgCr0
qWRBN/13WRcUjjQV4HbLk56Jpe4/gsKEOhFbObxJnD4WP/SnrEtQ2LMZRoBj8W0Tm/d/i354nS38
KuqavlSmTVDYIYwhTYu38OuIowW67uhO9dsqaf0H2GzTXcH9R8+oH+sPw5/T4yD8ulr+8kH9ebX8
OllhTPe7nGySnMZ44imMx2h8Vz/hr6/cNU6K/b/vt47dBZtYW6p6JyPPHiHuTTtfdBV4oWWMAfs1
w640r6lxQX313IzSViimwtmKrDLlstFW9hZgVEZJMrG82+YUtktPY6EWDUDyZZozyd8N8hqJJc8H
HtUcWu6AqvSmDyBcC6uddMFjynLfchJh71Mp/Wda1vNoTRq4v58It1WrtEVNiZGpY7ZFAfBf6t67
18J2442i9m3l5fnRjssYpWczDQDem7n4wGS2jFqrX80A/1dNUNJWoM2bRg/JPcdv9wVLUb21aJa6
0XllskJwYIBRFzrBEx3CcQKIzwA+68mRtrvpB5uEdEvkbhNgU9q3ckyADEVnL+rcTT8CTGDTAtTe
LJ7jGB17qHgemwOjT8IppFklgEUg2yy51+FpCTHYt+y7ohoACRCdkhaFEmAY+UFdq01RObCTrgYP
ijATjqbyHZcZliXfxqzElifKqCmw9LaAmU4ivGf1JSyDnLYFkt0sGzVn/Eslm9CgGe4G3VFC21Xt
nkIITZV108EI63I85KAtOcwzoAobXNFD7K5BjFmrZkSaaVXY7aVozI0dW2pv4+BcGL2s16buOhg9
DUUYkNmWM25FWJyF3KVorJugCnNsNinxdqBfK42NZDsPGmgHEQjs/2aYgZM37M/K7MNdZ7PvdQ3H
uGVFBYPEZuVC7WyTrgobLGcIJSlZeGMQcSKkEykh8RPl4QqxwfZXzMWx+AyW3byT/aRPqJoxly9j
SO5vYWd7J1I/5geNNPkn+1NkdaQVZYHvGjoe0+mNALmbrQYt4ttE+vW+xQoAssk45FZVHaI5L19y
TCR81olGWRXwwee1VkNMGbkPlA3oSek4LPpOec6zHtO8CCi5XtB7RD4MHRLETTpfp/hWdpM1ubkd
TZiJWA8j7yFXhq4B9NtiVTvFLNfKMDFpzLQjnIS2iNU19dTfSyDBGzuMpvAQhhVbEeRf961pPQ61
ATHd29q16IepiSlfpsET++s4o2BjC6J55obap1Q/Q6UXXogPPbMfS605ZNKeAINJeddAPviqgfSL
U2V3Vl72zz5BVrpwfJfMojNK2DuGrYe1p5BSD9PQmj/KusLMZ+Xmc2pFdbdtc9P+YnsW+BvbkpNe
WE0NlXYxT8q4eCg4G6JW2IFoKeQoriQ0jYKMD0J7RrtZJ0mcs2E3jroS2BX5j7VUYexeOhQR0GHA
STfZbLAPmD6dMP1o8ugG9XRbCcPedBO5tbyX2a6PfOvOsWG71nZ3QyscOBZUjBu/jdPFbF49sxyT
VvlstLukqm8LZ27OdSI+cWZBiS11vgzaLNyJxK1OhetyQAr5jdwpR9bP3fgcBUa7HXGF0vAwynVL
f+rH7Oh+MxEYuKUmFnIpbpnhJmjS8SvPA5IJpF3io0+ZU8QF7BFknwu8x0Q5lPnhIiYfMtllRx/5
esSVypinMVtrZdKJ5/yoy+mKdnLLCR5UYeTcl8ZrC1wPlzWbFcdUT2k0uZum6Lt7nzE3O7uYWQ6q
TX+gVfJHZdWsHwRGbJwK4BN8fEmnnmokZacoc/5ohOshDzm1t1F+NgScq6WyOlgn5RBcQJimSOXG
rGnsnFIOMiFmpdbIu9tmwAa+jkh1UmLXTneepgdjaktpLnDvulxZVNmyWoQfHnbilVEob2d5UAXI
SIllhgIBEUjKJy8jh0yggbHFiMkSOySR1SG97QNS22jIuy6T+bLM1YGEiXuqpBMdOkd98XSKb4lr
VdtM05DH8W1WzT6x0nFZBaS313qeye3ETWgWK2Oq9WdsEOS8FgaJG9cpgPtISADNOtJGMiLA9yQD
o/4ST2FKYQ+OkMy1IHdHZrflHDGSCuKG2SpcK/2uqhhKrPu+927x+OXPLt8TZT2m3nGiKj4hjtnn
ZqyDjwkujf3Q1DnLbDsXUbsqWwy9zHFg7qwqdgfsWBGT17iPZxzlswXUQ3xU+DI3Km/mbSbN/uhS
aj7q4tUgm51fGYpyxMabWgCUepz2yPkdU0faXz2GM3XcPg7Yrq4qdWLfuo0LPmJytFxk/VBTdlTc
BxbTS2g/etVUuXHOWpC1o0FMJMUaHXv2RhCJgXNwTe7XIYHWcA+fLFkPnq2PCdFMQ+l+YeGa5leI
Tn4vPmt3/D6xvjOeddkqCDnt45nWBzhxsCLwni/ikKyQlBnIw2zEYajV1uvZLAehDBCg4fSV0QgC
U4XPoYWPtG4HLoBgYHkmOrgYsPf3y9yYowv9pThVk3hjDME65oyyaadO3kQjwY7MAMwoDDf+HEPJ
8b3r21PWeNYiNqgtK8cRblNDqitsIFpWLmoL39CwZi9oLRuzEMws56cgY+Ap858AYz7YrC6CE+it
chs01dOgIuPRLwu9a33YnWw1yPw5ut2WELi3rEAeCNoKkEqqnbUAN7xSZP52eNptQtr+mUkEt28u
7TsqHgHTU/+3lLof7S0s5nidjm641R6TaMvSGOgaTg9HtgvN27X0i1wYGsCGjHZzduLKXye404lo
F8HwBpQmu7jtLI6C0vmvZlSIbTxy9mbvDy/g4h3m82OJrqlECaKEwNUqdEXwJSiQ3jlq8hj9ZRJG
YSKCrdF7CmU8NqNzaPg8OdOwFweUCWJTMrHefcaKN72Q4x2qVjosrq0vMZ83YmPo55j3erjPh1B2
4Ol8Ux2F15uPZFeDHxk9yAB8Cy/fMtaKUxYmM9gnrVCHkI9aIPEk/jq0jJjh1NjECwyRPaNhBIpt
Tmrl2bI9f0EaDnwxkxB/GUlavBnsiZ6wlu+WfAkFJHvPMx7hCCW7OGqmYzIm87YQU/9qg8E8IgIW
UPfZPkB1LuDgNh0SZCtECvAhsubHNJmmH13i5NymjOguGtDLxYeezHk4poCLrW2Hj126m4Sepmdv
KsVtEBXFIcIxtZ3IqaMZMB4nT6ad8DW2a6qwcpGBTDXGx37I7V1PKdW9QWMxu0kH3nlTeidyseax
LTz31cgGcGxQSl4tO9iD7VYLpw1vtZc4ZElCegRqQ/WUrqRUV6E2MPpjxTOpt5vjG1tYMwYHrRG7
8NAAFY3HpVtzslh0qI4ZPhCHiymluOA28N1o60OsXsi+uKqWEyaT1pj3uLdT+kgL84lMZp8uSt3i
Jw4GGkBmg9asM48Inm8UQPYTCxj22rwhOpPhfmDgX0CStgoyEQ5oTGovkqWb+e8J7O21QQk660wx
bWUPxA9qTfTJpgVusIP8vwTESj1JN07FNleD3ld137xx084Xw2/Ybaqx2KaaF/EMIdcJQ5i1yssQ
qIcVnstRy9uhEf34XlpyrO9JFtTZg+EMobtqEUkCTiIc8JbM8BKq3gs9Bktb9qQE3Y4IDD6G3tiq
qkwuuT2Ej2Nlxl8zijv9jA4Bfuqlwm2HjHRfTdJ860rffuzGQSLgaQmNjR62eZ3EmOXC3Ig+x8FJ
DoZjW++1Lal5c+s45uuonPEi2KD+0BYD0nAoEXryeKwvkzZZK2Z8zWzYGpNVTbV1CJQ0ZcnWjdXh
fszFe0pj4ZNyhKMfPVyZLX3qtW2t5wQb49pscLiHOcly5rMJxUkqxCzo5yF4C2bbU7yvTC7CVceA
M2Hf3uh1m08OZSEpdy/NeJ65KnkeHksz8emdt+qKWL8b4WYxGLnVRuVCM61c4KNlX4X7uuyst2we
om1h+tVz5cvunYA5dZp2VV+0su9jAywEpqRV1XjesZ1C5qZch+RMHfGeuNHwLSz8ZH/tE36mwMl4
NatSeWvHn+w3iO7joW+HaQN5qryTs+XchxivIFSHY7Czk2xdT1W6Z0cd3eB1HXZ10xFS4yN8792w
JyhmOGc7qvSGodzWJIR5F7vJdGgdaV49f8mloCPsRBV393MyBpsa5Dz+IK9G43QzIvWlpszYVm5w
CiPvWxdGn4BIxnvGNAGkjVrnrNYSIjhpXf8LmC01Ul0eb2zphKt+kNGz9vzuZUi4czKjaF+SLKQ+
cHSsUwE66xBDir9nMvUV2pFYSqjMl5rt7BmTLdWqSOc/bMIAPEEHuSua1Hmc0ZMPc0j1L6zh4Tk1
afBsQPXe0sSTnMtZW+tJ0z62zs2qvRkDe0DJgkRKa0t03yMArKwqJtFGfqk6d5xJP+pJ2vcRnpDN
RAHWovFKfdej5e4Zabx0YozL1ehJ2PpxbnXrsYQpwkhCbtKunYljZHhkxk4s04yin4n6gNcegjxT
flQMyqr81xhJ7lvA/GULMqHZO3ChLniQYUmzF7ulgHlez03QnjpCUg8tuzxG2RTdbGaIQAdobnDg
Gy75vmG9d6uy+xbHulgHcxu/T4Sb1ALyE1pigWiO9E43Yj9xd8U8VVYAvOElUkgL2+za2jJxxqL7
eQNoNDlR4Bc8Z55qDgqv8TMFeRxQIyfnJNgXK8YJdGRFlnl2SUweAheivtETPRqnSp4iIy++6FjD
awzlQQLaSdpbkfPMW0xFYH16YcoJq9O5PoqwwRJPU2q4M7jQkEyz3qAypk3BhNVpG66gkVYv7VjV
NB/5o/mQqql6dLVs3hMjQltxfyJHaO0sXgn+BO9DK8CR+CHry7GBTXWeWf2e55/AkuQnvAT6nK03
SQqNKGwHzleqi62P3imc51LmM7KuW74TaawQ24X7UjqINCpvy5uQnRo0D9YO3lCCh78AzRP3rn3x
DVZv09FwW1TfgNOgkpPys/a9y7v+aF7ZLI30gnVTxtmO0ifILVeGC9MQc1GGcfWqXUHfbpobF5Wl
Cne+CDBXLVuW+HIJPq34LDH1jbeAGyK1MxycVIos9HQtFTOfyXrBkKkozf3qhe1tgIxM6ykh4bII
mFzBlsIu8pJyhlyFUAN2jRuD0eGXD9kT/OTUyKixcyTgXt9Moo/epB+bj25ScAHF5sx7MJryMtFV
OiIEhcWznddfzU8KTu1OxfsM6eCrZA8KoNxgGULxXkV5Xa5Ub2B+g6aThghbJt3TtJLBUlLTquXR
vBzalqqAK46Hzdgz4/fyAAT1QQSD3IZdbBzDBHyPHwLyAWWhVoYDWLSrKAztvEsbN/YdibT8hhJt
QivWTy7QGKR71RbFccAJs6fIgMsBNpg6zLnugLtG1vUxlWOBIrrkuxlzFL/hTjPm49hN3ikOp2iF
6KG3ph+Ij4jL56PC7D3jXSspJ4uy+uhEQp16TlAbJ7PaC+2+52mOzC3PZuZ1gcEMuDVhZ3aGGraZ
4cPAQJS6U1LcXTWhNwFFnkBeNZjWKjWK5I6dHS42wXp1iojooHY1KgJShpUPizQHT0yNs43+Nrcr
a4yyZ2jfmbPwB+3cszXI7GUapcGdTGKU/8Ftdq0d0U3JeGeF9YMi1mDivswCHx4BaY9Ni4+B2G9X
6qOt0RKXdieDlzrs5abRVfOWTJY4wf/BgkWLBQu43at7K+7qU82rLUt6HM6RKayTqAzodjhj3WPH
dGtnlVCqJfDBI0y46hjbsYczF2NdMVB1vpIF9ymz4fYOca1p18pq2NJ4tFRBaTWmYTHbVbIO7em7
z+RlBbzKWhKuFJ8Gc+J9z8D/wWFlWjhuR3qjrmbmk7OXbsKkCzdaifkOS0K8jaSLXcVMcu80pm11
PxsjaNSOZsFtZFjFzqEHgGFz5h4qVSVPUFVZBceyqdEbHcBriFfmgpuadJkS8tmJJroyhejZc+G8
tRoeZm0J/IraDY57IFu0NJ68tieAMGGQpWCGGKeoonGdjNl47wYSO97kGfs2c6qDUQoSqUZRfxMx
GxAjLONVkycxi3Gz47jOYCyv73piVBudgtQyme1OC/6oAM2CRslGd9hYGY/TVREl1O5N0ArWthVx
j5d0JC8dbwq2XVprkwcPTH8z85tnKFLmszdAf2dISVE3yhWJnN5J4rWbweIhkRdXjyk4QLGJVTPi
fmJ+X2wMUNnlsQeSjCRblTjtcsQPwFdpaLzQYdkcPDre0J7ZRJPVipL+grVKxwz9nfghcmegm5mP
IXOB1UgNq6SOu6/Ezeft3A3Ot1TOzsUb/dLcuCRQ6nWS4DPdKMj1KCF15IOMzhwJfwsL+KXxqCvB
tRrTNZB6fvXS2Vby0RtimsHoDcLej1eaw2FG6n+M7bl4ra1g2BpJUd+NhKcoOlJ1cw8eA8+YZEB6
rgaEOKu3MUCk7ZsyYzLvXpPCOfT9b0ZpRRsyuARVLNc6NJ7Mn5PmmgossOZuOieS2LTNDCGl3fMp
zEz2qxG6OXgOjD9++dC2/biiG2J+RL5UB6+W7tmaAPFR3kkLQgjspqEjwfI+UQ0ctQwLyUhfaEYH
xjgaNiDNQe/QkOnI1mE5vsaewwMCCXU6tbntrrvoPq7crluFheM/pthbbkKgnnbq6JT2P3c8BZIn
wQ5zbYWJjZjOB/GbpoTXPmKuGAGa9gtUZ3WPLcLCNDNMmb+idgHcUWuh1K760itSwqolUO1pkufM
9tt7a5LzC8L5cG9g3CEWa2KkIwa/bZvKerJwE9+RcrLXsWcMYlPSrUBZhkruYFVMnMsHz/nWVmmE
NcjJjq1h9mdtyLRGgjQj+1h7tFDyFWT8NfIw9E4xu6xl6xr968SoEfmfzfUmUmMCuige73C6Y/R2
7dTH080HcV8mejZIesrwMzAjopexbZoPlICTe4xzkT8kMaN4MPkcoH1nVjxOG7Uk9MxBaswtdatL
s7mQwxYXOVjF3WSoIoGxEtdvM3C9W2dOas7yteecBDXuyDhFkxS7uK3NJyfy5RHvBxH2HJ9GtGgo
rmZEQ+bukExG8D1O8/m98rl51hiOOHv2or7ys2aQ485kcYybdZ+9cLX1/bLIYp4EqJ7jXSOs4Ptg
tNcFjpsIn2z24rqW3FtmO5+oqXAPDPgB29d5c2Rt5wHU+OKzsal9XfklT76hgtjmGHF1D8/CPYz4
hW7soe33sxV1X01nY0XgsqW71fNraI/tOP5wkiBf6axbcYbIkmXrtMUOOL57UKzbq94tswebhO3B
kEAl53TqPouEouTlDMBnW2Wi2CW2OxYrEtz1u1nBq1yHnVteOCKhfhOSeEp7y7snIpkRGHTdh1lq
/qJZh5qwr18BMWIBxgnLuCN2G4NGTTGsOz7DB4LC7XeeQLm3uJZVPRog04NlkWsZr8smOmOcbi6E
9xTTA9YWSo87G+qCaNtzbrnZsTL5ITOAK0D43D07Y4GaIKa8+zYjq10fyL08eR19QIHLqQRI7pBd
yNCl1N/4iaRXNCjne4AyfCNsbuBSxs49w61inwkzujRSVUuZjmpJ7RBHDbvUa60pVpyjIbjL+8k5
8GMhLO/a+Bghky3542sU9OnajEtAOP7s3XbuPJ+nMf+sTbXK0w5jRFRCLkz86eRgTH2IB2vY6tIl
2hH5DxOcMNpEs6tzB+ly3zaC2K01jEQycSA+kkZlX+G43DzTlUqWcV9jsG6GTc/xlQlNh8JhYEPc
t2zbv7lR6ZwDIUzsHdaoLzYbek4CmSKp4oEuXvTjWB3iXlkwyP2wgcsz6humq99Lncp0UbWNuotC
6Z4Gp7TvR+SMb4Xr2WqRwpxrOe4yvok6rqZBhDtWVZILceERrUdTwAcnvyoqgWjtEDXpSrNsaGRC
dscllaphyim/kuGxM9zixQp5ZNGMxJYlQuFMTTkAOGLaQmDFrJ6Zp7b7nM8XG3Rb7ka6olfCFdba
I85cboWlbJ6m4cjQqm3zb44VEN4J5m6dOZP3RRCbzj0jxabP4/5NkLekr73LqCuF50RKM1BsZN2E
uZU1d5xgpBkNxwZUKLV4NTlLpjnIvZV6r5Rd2FiuW2MfGMS7bTQS6ofRMU7tqFjkfLeuILs00YOi
RXkDiWR4jN3R/iyHafyI2bY+wvjs9MIhz8P6H1yTdn5CZe4MoPZbnTK/vAJUAECx5nHCyznj4ZFj
Me47z2UOk7YWD5q0jU6DIcRHZlGKsB6qgDCAnnhwTYXv7AMIbkd+KSqoeAZTfFZRrjcp3LdgB8BT
6EZRYl+Fkj6yJMiml5r+d+Y2kb+RsuKZX9QRKUlH0OBaBtIIVq0bz6cuDq4sxkGmB9d3mkM4NuRy
VTq532FZUgXsCCZ++GVLnlYyroJr1flE8UweR3qB0IZXKYl4ikHyd65oa6ez6ht/HHkZoPQ0Szeg
+pd0rJtPWa+Zo8giBWDsjuWiDQxjj8ie42jXzfV/GLjpcJXG8omZrZURrJbQS/JCqU9McsVtxQT1
nocXe5eMx+UiIB7U7FuRm+kK1Mj4it4Mrp+WqcfwerrKPYA3XeiP7dJmPrgeYpGuxjgTJ8/v5Wdq
4zZukfs2lJ5CU7Xx+AQbhYtg6SMOH+dcmAccxOMtIWYQfOZVJM+jkogNaXwaK03urJ5+h2S4tw2U
UQgYnK6b145N+GEKCrLiINbXLSTr1TDV/Q+zUsmpYztxS38F69dM2YnriuKGOkWJSZC/Aw9GZgpi
r3gVpH8pB4vSEzkvuS5bgYESsxsBYKgKr1FXzfe674ubkqoFxuimsbZlkO8z0xXfs6oH5ld5+ibv
SpxJc53oZRUP8QqE9fwdGlm0Iwrt7oELw9PrAMkOZReq/x/7/C/FPi2cKxha/nNv0MuPpv23xQ9S
n9k/OIP++Lk/nEG++F/4mj2SxS6Zyl85XB7RTYlDHwaX+ZPERfL4T2eQvGZBWSp94cKpYmXhH/1f
Z5BJLypWI88VLq2qrv3fcgYRHP0HZ5DDDt+nxtVSkhZWKAj/6M9xr5WgGeP5rY66dFOLxF/0If1v
pA89BOtp/8vH81eOIBKzv78em0IJQoxPhDjrb4UF4EQDCwAZ2ijsv20o0+SqN9b3vVlUawoSh1Ue
zMzBkM1Fw1CjZ/xCHWaH2hRkS9YSi50NVO/Vv3hfvyPB+BxsSbDWFkoCTHN/8yldT7jAOzFQoq5/
awvehzkg0BOS2FEWdfCBwG5LBMcNpMRxFU0nRfL08Pdv4ho0/9WldX0PlolgIWD1EDf+7T1wLHWC
Mem8bYU6v2XSExw89iyPf/8qf/GN2/yqbCQtHwqbf/3nv8TdXT5kFvvEo8dM7VQ6vHh4m3ZDDG26
Hmjw/vtX+4vfSVloLHzjtO5yIf3jq2mpTTEmnr/1C8rZRo/sK72j8l+8yu8uMz45UMDw5NDwuYbl
b1eVDGiGH1TgblVEeKlOET0oLb30efz973+dv/jwfBNDG4UgrsLq99sLKWPmE71evkGMApQbyRf2
HKZ0VnGmafX2f/Bizs/eEVsJJX57sbGzS3JptrstLbrfMtAJi6jn8ZXPGLbGxNn9/cvJ63fx2/WH
cRHHlc2KABvvt+8qNj171m5IOZgB+kP3UOwHNxCXDEAMSYsoXVUIppuIncZuLpNrtV0efKDWUSFR
ME9C/tVbq8j7lZU6gQm7DUehY3nZSin2262sKI73ogLvExAlnn85z/YFFSNgYUr4GcuqnZmSqASO
jEice53n+l+wHsy/uM8BuzvSl4i2/3w9DvCzByrd3G1YRHKfKMPbT70Cd9mrJ4PqcfJSDV1G4Zdr
RRVP4lQ+kp3z/sVH/VfXq8/Kbfs8xRUz5N/uigS8DjE5f5tlHfKKjbtEOPRNkPv5FxbMf34lH9gh
51XP8hSf9W+vFFVXoFfi03JCL+xy7IjpEcP/Rohbrv/+8iH6+c93x5XlCFqSIQnk7p///Jelpc5N
y3BlQ0UAO7N12hvx1ao+njkjjRfH4EKQdfvIaSZfJ9Bn01XrCQDQYPIIMZekm/2mAgHnEsbgfK+c
B+J66l2hCOwYPbTZ0qq76cFvWvsGDag8phER0ULTkrCoTBoCNxngPEaulGGI3O32pA+8XRXZDuo9
A2CjbuqV1rVcW0rjya47kZnQ50sVbIdWwpHPTcprIKLdFcocsTJFjUOZ4yg5kXvxXSDy5B1bQb63
cTmsRebPO3o2aQLta3ef1q37GluzfTdIfvG5wVNkBIy/aSN00PNkcDKTCRd3a62zoMqvvaMaHKKJ
Fx+vzaMtdUVzTVG9e6HwFmTeYdRGU83Zu7yGdIt+uhZUgqMVbfJgiKq+80QOrm5kdk68aWRsOA5W
/VqNfXDCIRU8R/4cb/u89r4T82VvHgjrLTWSlyKTPl4BoHPHpKUyi06qWzePVmi5O8s28l3Rm1DJ
dR/KC97eko7MyPGOwraauxkYEGOO2tk2tU63/DrV0us5DcGlQ3Kdyy4DshWTNmKVmm58FGzcdilD
GxwhARXmHRvibVYP/Q+2THwmKEE3EUWrFJd2JhanACSlsmTHqNduXkzcZs/K9gDh5apqGL5o4T+z
bZvgXxKawdOV2/uuw48x1LgxtaPsm7p38nVZC+A1MckkpvAzj37mBcj0i4T63W6V9l68k6GvN4XH
9y2bno+vNxqIemREQIoThViI3ozXdqXUW1TJ6ej60n7DgSg4pos0uusJbKqF10OQ4dwuoDmxeIys
nPakGWXng//MyKHNni0LO20vRPK9ViQFFm6guOJ9vGoPGdorJsFoqNYRW5xDThU8Ni73aw6ZiZHY
peppJUBZJ1tPVskM7qibbmSa14fZaZ1yFWfDxC0EOStiyLuVMxucBetB/uFYqvchw2OF8q/pIA3Q
jPxI2u16IosnZzYQ0BI79LclYya9FGmer7wiuE27MdwhFoMWRrzh/UYD1gFEQ6zRyxxTnL8ACTrf
yEFTCWLWB3xCVwBxkT9YxYBMEE+bEbPWoxT+uGak3G4a3ttuMMpw49dUAXlK5Hy/I+x2Z+T6yBjs
+bBBOmfj0jf8jHblHq2p/oETpV7HnSYJDlz8mx/4DBEolqz3hom52DESCVy0p+7KnBkLGfhnV3UG
EDzFwYPKVODYGSdGaIVGzrLpVbaaOH+nHTG5TQpzIDyvg8/UmlUAi3kAjZEAaM34ih8C1xK7JDay
9TDBgTVGnsJsRfX3nsHlvfSbaecPRk5SpPPWNemaDQQ1nIWwOMeeDeI4m/aRVr5kPV6ba3SXEECr
DsAhPYaoXg1/bh6IEDShBy0ieMJ4hEirzfDOIGV0xDfrvyNMW3TBqnbNEN9SC8hW3dVGQm+NUOUu
ylto0gpdW3kGvYIp9AunYnOMxBwdw6p/9TzqSb1SoO8rJptD13WUoszFqc1w4y4re5hXJYlQEAya
/ijXQIy0u4QBPOTCBVndW7JO0bpP3PkBikJzomwg/hhjVlyBLYc4C5XTdZ2O56YvB7J6QCUqdKZF
Bzj+yaltDP16MlbF5GI59JPXzvEJxTX5uAR83kAeOQdZfsEKRR1FlDv7obNwGqcJDcmEBrKO9qPS
coYfcC1bJIwKhZJ7zTBfmU5bJztrTkMA1turEhpZBzEtpT2ZN7Df7RB3TZRtdOZy4M/KYVPaPjlL
kxrqBPfxAsGrv2CyK+KNtt1mkbVoJElhfI2UyeeDqx7ZJM3bjoLV69jheXDwWpmmo9bDUJonu2jv
q1jfWAlKvWsaaLOs4JT2Fu9mieUN7/ZoabqlwrCk4As0DZnsVRTP9nqUA0JEN1i39dAFl0LQKwsS
B9+YZ5/sEi+Afy0toetmpKSiq78FfgApjiqapTPNZyZr3iYhpTUsHCw/r4XLTMzMwmmD74GuFE8w
kF7ahUFQupyK6ol92Xgvi9jawQ0OtjqmRd5ksblFtKcpqzb8h4jf943Qea9X6ZhpPg0np5e3QXDA
6ZB1FJbjOw3EWk067dcOde8+DXOze84oTcSyzuL10ke6+ZAGE34M4r7u9iFDEo8a6rxYts38NeG8
XoTx1W7hdu/0zZR7/u+IfXtjs0lskCiEaGpi/NmFtX8lWHzobxX1dk7wikrLT9/gKdUHfNKI9908
MxS8GkmzMNrEMS5G0/G4jQd9BEA63mEofu4lqFD6c8lVDaRdeMifHXwXmwZ7RMp818RQGTgDV27a
QEpz7fpBOuLBjSn2LKvEWBBeFztSYpSIT429y+uu23cgVFnluwJXOqivbU+R6TYsM3AdhCIpQaVL
Y6CA62Zqc3nuKppCCxEVb6VnN+vaVnAxpgRcNKvFSEvfFw8khGRk8N3siP6JECEJkXhUww+dUfm7
KEWRrwAaQ0SknIY9o5o2huGVYGjLfD/EzVcpZXkY6U9+sEy/3mBVOMeasslpVqDhfAuZzTSN/pnS
1/BLzaleR3w3dzU67d5VdbAxCl9fZhDzRPODT+3X3a1ZGOEmi3EqOl6CpR1acrqjtWy89ixjNaG3
AyuXuKf7zVs21v9h70yWJEey7PovvUcKRgWw6AVtNnMzN5/dIzYQHzEDClXMX98HxS6yKpvMZm8o
XHBXIlkRHm6G4em7956b2DsoZhTDR57L6t+Nq1PmcSUEo23uLKdrV1g55109pvkNvUBIRm3ZpcMa
LRnILBC6T3u0i5uosvN2V7V8IqHIin1UhdbRZTkP2lLc5G73Nqmxvoz1eDsWtf6CbNAB+XTkZil+
RaW1bzsHknEYaf3uaOFh42z6Y+lN+7w2XgjX4NPvZjyzGG2rU01B1zaR5LrjTpTPox7bW5II7K55
CR5GGZ8qUJ3PrkzAwGCr3zRhr76aaph5czMUsE6t0zUrt2EjbZ7NeS3iW8rp4nurJ8qMcikgF9i0
5sA+qTcsMvo71uSvcoKIUxvdObH7AsbGsAWsQXyozSVw33GjagSxVV/Pe9xXWE2RZjU6zsWeEQ3s
NE3vGew96mOyaDPNhGBWlRNQ7jNWLzoz0p30q22fwywX6aEbrPaIPo2WhxKHm8DHMIw1hHff6B4o
RsL5bVR4QbD2156/mwRhVoL+RnAKa5JHtpPiQSie+pFMAMWLGLUHj06AWO4Z5fNtEOOgFklGQQh6
9d7h569U6X22jRe9+SW9vxLghzlMAs/gfMB/8zy1GlxIjy/O6F6CzO7vErp6+Wh/hS2VlE5ifFK1
82I7+QWE5iMwD6INpXVFpf+O8281BP0ec2MHdzF+gpCZrMpG4jvwz6lnXQwbvCZVYPpcKOOsuILw
qIY5FX4OEsroZ7sYmz9vKQynst87oilfZ+eLVVyxC+zGWltDVq6LRuJj8Sb6sEqdPnU16JlWV890
ur4IGo5F07znMvo91t45oTzBtb32RmODol5QIeuWyXNihwevLJ+GIKPerzki3hYkSatbR+T8222S
GUL26G5o5ysoTMPKNrps43rsL5LGJrg0NLtBFA8Zd9URueODtcNRUK9nBI23wtqKzN33YIiT6CAs
u7/CJPOuk/T1NxSxkKWZd8Q6U57C1FtQqgMlTEP0gZufgznH/ae2wZm7HPK5ZYEBfSazJXelBk4V
ld5OhWZxmvICn2A0JMsoJRo8EVhbkiLoyIdU2SawcBOEVXWxXRQNXY3MKpJu3aV5fG/EHBH0kOac
6g1mGH7hzCaUM1IYvgrgixCY4/vm3FqvBsN/DER8dZ0hXQtb/e6BnOuWOb8STJ9ljtWNfuuVJWMG
eid8SGbn4mTRaztVtyXmn1U18r2DyDERLgt1TJJZ8tKvns0WEL7qiWKNmXzLKD/ZkDCQ0Gc+fMN9
FYXZrmfFO3uSmi9N5S/SdjqAF335MrIMXU2eVxwUrrADjYm0j0KnWcmGTqe074AKuXQFdyxETn61
KFg+HUFNCY4ED+zvCjli7wrBb0rnAKjs/upZlJljgcLfS9fTjw8C+4oyyXRHl8huwhmyM1A7IFCY
l4ozyy7j/HMaqojhiNCgZ6s7GmtIVMugeUuIl8PIibo9K5ZHykRrInHEavr4luhae9WNgYWSZ8eW
VjhxqUObYCP12Ok+xVR/O9vE/lQ65jsTmyTTv3p1ciwXHYiPnZ1CH6BgDBfkIMYnm0j8yq9IZw4K
/wHA8/pz5Jc6+covNmLkK7WtTh7sxOj2vG/NW9kkBGyIp53K5lBNcwYRH6emOTXFNkbAv+Tks1+0
VYuXYPS+o9GCemlX/T4pHPOViFt7oGvVeJSyVx/waeK7VmEOICIDOQy63R60T78fS5AoA3Yc8CO6
3LqscSCXJj7A55Q+qYFpHo6Kpf1ncwlN0l3q7ExwIgCO2PFB9tF42rtEdkddFuYKx/qvqWFUxL+a
f0ZxUm3TxoLopBiF2sXuFGIeY1edMStlJmmGpvLQ74Q4SdVOv6j93nBgEtuC23eHr7o7Lh0I2yHD
qKPKeLxLUY+ZFnN58v2k35C9uk9YRK37km98BtZ7oJzW2o3sUnLqNztaAnR6cUeljjR0bimNG3ch
NzpnKeyehFN6TOCKuRLB+BIOHQNuVSRrL7cG/A9RcpRzr/DR2WJfFi1Ycxritx2Uo/3s2f2BlG1w
okMoYudSo7WmTPMcwB4HbTvU92HqFmP7NYbO8GblMUrzXFyaMYFUm85fHMfVQwipFO+jMrCEGJ3e
WbnqbwxTP9u298qP1Scq5Y6JoDccIjV9xNR6rRWk/mebzIXmi1LJrW0a7IYqfOfbsjPZBZUGBbdl
SjlPUHH51LXceUkdkbPPbPe1i9GruQTl61LARqHhAh+hjow6U/hj6ykT1T27iupZGkO4VmEi37M8
cR5SyIV3dtM422TiaIjVLVV3uR1+AFsNH9jHUdYNtRBDlqQgMJoxZ1C9zIKp88+5rtQZY2i+FeGI
dW7EwyObSJCOqMu9gXd2jem8Wjm+lZ6mBFcNoJfaXwVUUgIgm38P2jUPMT0gb0mtsKRnmWLDIT5Q
UjOGg3CiktyKt8i38lo4EbWBwLrPyJPZOgid7Mjldw9YVForVcXNYUT/O8d9RXy4rtMbQszUOBl4
UucbqjUB8bk0rt1PMJu+ehrr7JOBlWTfD4TN1o6Y/TeC1CaErMEfva3qkvSHRIPy146cMnlO4naC
MkZYcF2Yhoq2gTG2Lp1rCoSU8Lot3kJOenM7P5k26DrZF7wdp9zdoJo8ZqLjmRkq+p8iCAX4/Jca
c0qfzUroda6l9xzl1U3eQpYqLXUqfPwLdc67g3u1mC+VKkkc+VRwr1x/1njjEL9XCL31Cz9IPZdF
Vb/ly7PTqsvbumrzXVZJ/+wlobUjZgWaCQh8ReeydE6tV9rb2SXauHHrJjrQFdg/D800P+ZR3zyl
ueNeTHgy28GA/G1WBrgSI2PLrgtZHCwZjpR1+mkHyyeaYXJPFs/EJR8EzpxKOUyGpLBjfzC2KSZJ
d+UmRrYuWhLvjR+zS5+aPNrkwEzwnHYdvRGi0QWC9SDfMazb3vKd5E8+z5/brgxoIKo8o1xFHCb3
HR91cOb9neS71FYPkUfZt5U/iCAs92GfwJ5if7mSoRlDx+zu3BhLC5ucfq2jnlau3rhl4U4qHEiQ
pqdyG6Mj7PDQovzn5Gp9yBILRHHd0S6MpZD45JgvIDDYeBcPL9Mqb/SL31A4v0lySmB1KcW74Ch1
CHusFYqO1e0AbAitrO0eOFJG3P8l5X1Elqm6kvyroNgPE28/2+vGrWHl5p7Vx9esifBR2jGv6nl4
6abk0AwtrptqwicaROadBpO9dcLABIJp5OQ48YlWbVXQi5s3JydIiQ5V3RZ75ilySVevuVrg37EV
3rLV6S6+zuyPsaYzdVNmZWkxg0/+njYuOoHp4Wlv6GDt9r5PoSgPLzP4wvwQ7kn4ylfWH/K+CnT7
EA9B+0a/Unblk+dczOpuZ/XKvzLLDUvwOdiV3H0bs7e/2wSOWjhb49WbqXpYkY2LPtjBMuGzL5c3
lRMThnZ55pmrXvu+vyNJtrSAxw2ggbwO2/YH9Lw1bsnGziYMuRHZsfQq7ArakeEz79IOyA5lglgh
p45jMNUXaj624SRJ+ZYmkmrQEgajQfbSenn2nIs+2lpJ0Jx1LIZNZC6KS5QavycYoSM2uG2R1Pzt
3aAfvEG6e/AE5pW1iM9frSHLxJqNnudj1aIxtyxDvAuNXVyBjG3LhOIGlB6YBQqUv3T7a1QUGyps
NI7+bMsJiFJPJX+6WT1X7Rg+g0WqeO3GpOPxfely41vzW1mNr7OGdOi2ub0jQbExltKnQLbxup7S
9BTX7IQQdI5xkRovejBSCEnsLlm7E+1K5hR0+0jgLXEBDXDqaui+PARmyGEWvgyLl0Q5RyZYqI+p
Ami/M1veiqtaB2CsPIpSqrUK2mxFpxPA1cDAOrVCVTFuaxqK6p1plOxx2GgkjxhWvRuGvvpIc0C9
xW4vH0UP7hRMjbBgYpUalZqFh4gAEdrtnXYItvIAc8STGcvmoPKYQ6TitFJvnMhVJ0JOJkQLcxp3
eaDVqolZa5qDL974vWbCpiWohKaj88KZe+xQnFgKvGMxgRrYn87XZDcMvQRXQgjtFZwMNovyOZiW
hyUWQFbIuRM5P67IsZgNxBT3GRoCrzf2Ja84pPy3dkr8s8qm+kL+139A+PSPwnacZ9MDAbARnpFk
TNUuvKW20OEvGonrJeJTVkccwq3JtW2mrNMES7vOA7m4ynqCFRuDmsFvfFnOMy5jEyRxJn9yv4Ip
0Ia6vJLIx/asCMRTQh26+RcJQ5PWAWy1JsrIYwpDNd7kiaF579Ti9+S7/hVjefFR+HO0lCbH126s
XXw6Dm5b3cXle+aF80lSmIH7dghZQxQGBya8p3RvhqS8HkOSXpKAt2u9a2xWh0G1fUkAKRF3uRmx
jQgaHd/RUMNuNzF2NjiqF1OH7U9d2fULIlL0WtKX/Mvg3t8amk8+4+PMiRj53mGq0vk1murkDTTe
goRaaoBtZYh3tsDu74K65XUvqViJFs+0qxnhoSr524pL5CQN1+WVUmdbSiTGH7C3w9pgb7OuTNdd
aTza5XqCV/ZiYF46OqM5XdQwhL8y/Exr09ewBacgPQnWzICGjJamqFpF7zNLFm6Aumh+BVUbnWZm
bYbqGZBmzgCIJa7UyS7uvSdeXtV3X3X1Hdkcyr9tpqCV5ylSZClDkJUbv1PWPRjxsVGwuzHx1gLX
2Pd0udzi48DoxmO/2TqYzO6Qy6ijGWP2XV5aMJRUdikfJz3AqsqngtwTTToUVdOLe7HboTi6wxQc
F+7GKcW59QUPE2Gwhk3QrDPLJydiB2nxpMPBNDeE4OsLD4xAboAFizsbJm2955g82uvebjhFk+DP
6IMCOsecLXz708rUcM/Cergzzah59DDYfntNV1wo0MxhF0TiJ3S94BJBTj7Hrm8Ya9vqnR+PSMI3
lsvBhS5Qd78qrCdvmVLaB+vqK0HXw2KhnAbXjbD4UU7OpRpuEgTSJ+018COD2oOV4kbafDBU677E
fll+VbF6sUK2opVmIuknkqJk/2KL4IPX5Hd4+Kd3upkTSr/YnXbMU0T3fVbv80G3rPW8sNfljmMA
H3InewYMQ8jZPGVJ45abBKYZesMYpbfT2HoEhlBdeUbEVbBzqEC8IU6gfNpSvHY3zA2XTkmZbbG2
A142gP4QoinNNi9940KI4JKwb83OZ2Hnt7BIPeHH7x14h3wTK/0GhkdmG0qIkmNfqvoh4YsKdm6g
3WeNQDhtzbLxvxiN3H4FG3X6zPD7slwppJ8dpE8d6hrFmEpXruZM78kzL5tBnIRi7YeV+E2QiEoh
ych/E0fOAPFwebOFYtjHs8HW3iAGeor96UMpAKIox8O44mjNfcKMxG+AmGDZgnANr1z22CM6DrSW
Yi6+VDxErCxbqnLEhFXEss5U61HEoCAPiL0D/SkBQj2N1LJ6CsHD4T88WW3fdys5uVa1lfGCye4s
n6JXGrtZnWkr+4y0Wxx9N/XsdRG3dJT5OJi3ZRE1nzhBgVePLkj7Hulmuslzg+7poRVvNJnw+qDY
O1xRhV3mB1XkzldW0KEzKbfigDtP1n7qy2rv5L1YFxmgFhzJNWJeUB2HuEMo8xHT7gQVhTEaZMfb
REf6c86kxYhnG+qV9OtS6ck0ATL4x+mt8MYz3PCU4ba6G2YHzB+/tl7iYuoyTZ2xQavljD/R3iag
ZhiofXvONnVCDbqWP03Q07MaFhmwksC7Fui+eztu4qekLB0KTkDEHjJqU/odun2yq7T77tXm9GBA
tPg0BKsdKAhnos31V+c52bPjJ4V5mIc6ZPnrNm+QD3BVxrV1W8jaeIjp7/pPjBiL/eGfLS+h6eKC
4sVtk+J3F/vEPzgWktz0IZo2wXKmRzzlxHznC5yWRStT3tuMqtfeMrJns+95lf61YcL9X9klsKCg
ggLlwnjzJ3/PbBtQPsIx2E8ibq+hkOrQK42KQBc5sCPK0CLOZAjjZtZ/DTOvFNV15U72uUUJtv7M
JfGKADDuupAmWfgKganCUr8bGOPRm23rDvysw1qmFICgeaPOByXc+jS4Gc5ojS+VLPpq8NgNOji1
inU35IToydrSI13AIiWsZu/LMTfoD7aCjVi4T53qXCYU72nsOBx4w2TdNan4zCrIUobft4fG4IGf
1SCqVhzGsEqNIDH++qOz/6ONECwa/U0OsAy2g/6fTGwllxIfn8u0joeSc4N557rjVJPrm46VhWVp
oK54ciANoBF1APd1N+3CYssUsHgMhqXpOQ6xJSc9lWtdKbZZiBfbJOCwrkeDzoWO826RMwA7GUXv
GdVgf/0rLEbSP196oYeg5QKRx88QLM65f7j0Ut4lsg9VuDeVzDjihP1crEH5Jjez0T5YYy82PS/n
NdjX5GSZZveN4tUdlbm49Vi4eRZsX1sPBBErfBt//a/7j7a9pWtEBFyXdCF4fzYJxuzwhCWgesKT
5Bk6OnF4Jn+u/pMfs1Dx/sOHELo4HrkFeLRbf/oeJYKxqyMZ7pE/p5zXt08RKASxzTgW4sPmAM8z
Mqd9w4qqDYAV8ZAyhI4bFuMg61o7vBJ9yrHNcLNIryqvBOsh8eTRjI06NZ9km+uXv/5orD9/Njyv
TcvzloZc4B88OP75i2uKZmYhwbXXa5uHwmxX3to3WQ4C5yDExjHkJcyvtZnWgAoWJEJpm+ukL5LT
5E5wUajS/vKycDz/7d/1f43N+E+Qx/13fftefus/Yx6Xf81nzUD1/05XMmqo6dtLndL/3qf9pFLZ
qfd/9Gj/zz/27zZt+4/lWWJZJoZofLg+9yvui/Zf/yW0/rA8LlBuB/67by0eur/btN0/eDgK7g/+
CF6MxVKp665N/vVfbPuPkFor7m6ENyrDzeC/UpeMxfSf75TAxE7n4i1FK7A9EZrLf/+Hx4Wsclp7
CTccXLhk6y7HDWEMwaFkciPNMb4FAktXT4wZgYkl31y33yCvXrMgeCv9wnyIGlKvXjN8tbgfVznn
gm07CpKyhoUM3TbVY06M7IZ1EIWCnB830IMxYDfZvZAGBQJ2n8CDwBLNoRCFMye/nE7Jdqq9N8BY
VCN000Ptmt8l51NrYjFKdTnUsBDXy5wbX27s3LK2ACxb0/PMipaOT9GPh3ai6JPPMOKnxv3vVBcH
QOlnVWS4j2C6+6tSxFCBIvKTNhqS2SCVEemuQDv5zk2buZz4DCnOSUWcbEWUuBwg508vURg/mWn+
PiTqLTd5m636dpovBmtGAsQj0Zma3rWkmzokKbd7KCf651XunqWwxqMN5BUpe6o3MbxpTv9Wim/E
76YRaKxndT9WF97qKRZbSzn+PbOiyQkzIQcFonrSXrmuiMZdfFrgwVLp6MNpYuMgXPKBaLByo0TD
UX0guZErS54o3RQfrZh+qxGOlVNiKZZDT2ljWPC/Kkd+dCI0LpHozWMI0GWVtkO2mQvPBYlAMRxI
mu/MYnlmsOq7Klz8uyGG09FxPMRVSrQNAIO7zRPIDEPYqFNTjvZDoOcvKfGK1DmdOEPR5W9OPb25
gWTczNGA4UhgcqYak0KWDtQ5A/E8sYnL++KHQFl+8Ovwd9gW+YYlCFHrtmDKGyy/3falSb8Pi17+
X8XBlCq5Sf3iKRXiyWc/hB2SfAxaSPoEG0tvcpSOrYakdsmauHgYWjIyVtnn65nSUxI/CdKrdJ99
5L6tj1B5YfR45XoNv0ezarcmaUWkLEqhypblXy/1U2RET6RxcaqMWJVmDerFzTe9yYJPVxi5iAH/
Kth+H7JWP1ieHLd5CxEccpbekbVpX0z26lyiwUM/hU9Qou7gbXPNcr+vexylqNecXfDwmeF+HHUc
XTLHbhSLzZalZrRo0/Gk5J0rRrm1PMOgpCgvSNLbxbZ24+FYpiitgmvwSisCC8zYTQ8xfD26SRMe
Z6Hez60kZpSBNg0K6gc9iK0POnODPWXa08rw9IsV6/GxhHJwGkRgHqwWxFnrimfLzGzO98iXRZan
a74quJXeBMMqzzAihZ0R/VK1pFYvtxvQhTo+zdMgmlUEeAM2o6fsTRep71qy14vriu6ocQ5vYXyM
9/Hos2oa3Xw74tVCERcnwd71atKet6HIi3KQcEjvBwtFaJJBdzWzuew4oM6f7RQS5p2blRh8zCtm
xvFVztZ9lLcAggyWIigy1IGZIUU3OvIJ0sfAr1rU/jW2NvyaiVdBdi9KmqTIB2/w33Wvkw7FM8kn
/4CdBVGKQt+1YSLye72Z7VPXT46Z30w3je+lz2Eqm3NcN+ROE2+2HwpAjbdhqdDFOca8isp+NRPV
7moxgW2Lq4PU451s2e320gLYN7BDNVKNFcfpAZmnI0SlIDFWtDbIjxTq9nePnHj1pTOcYDgNh7YN
2HNQO8RsDAPfmuH1u4W8NVRwgzBvb8CctrEZYocrWaXBGF/TF0m4DlY4nQcOZ+sR7UD2iX/jFmXG
MS2S58hqs2vCPLWuze7cibTfl27bvFZm163sulS3bTN1xNEVpQCpZW/LhUfRZ3P23MNr2y3j8UOU
ELNlZtrYQYWUNg2wmrLunveQcezoK9mRSYg/cIvPB6sgjDdSTzI74GFqu2qvNKx6myCYgWFUeAEq
Oz2PQZIT73bre482ClaMbrdSlg+P2vftlTMGi1fFmuC/E4iim8HoNi0F8ozioHpMlavzaLQwCtkY
rCKkWFzXDk/h1Pu2LFLcoSistRuG96USn6kdYHvNIIm6IYnP0ZTUZCBy4avTM6FM9rtlhBQFre7F
dGveisu/wS5QbuMUQbBuQ/s1gDu3JtWLyTuaw0ueJwhtaK8uBQlOPHwYcVdmiKmDerJl8OOxrSrR
4MG3HIIhsbbQnq8opeFq7FFGNlmQDCTbk27XBxyZPCN78EGwXnxTZJCqAnRC2xu24Zy8ELTcewa8
QcE7AX6qEf6aZzbT6M5f9cgFJTSGm4ZTRwb+ZFMV5u3cz1QeNFSWSZE961bZx84wkDaXbxqGX7Rz
8GtjVuHR04bVV2XPH0TCf/c+dRTUWjqs+m0/2bIrzBawfnoao/guTRqA+GZM/ZZj36eWcNZT1Afr
Go7thpS2u1Iz5BU3852D7nNF7T0J41nHeN/I9B6csX43DZ5Cosw3kR1tRet9TNB5B9f7ovHWA3K6
uNkc7+v/j7v/J1WUNubvvxp1/xu+tvIfB93//gf+fcgVfyxZLPbt7HHokxT/g1IehH/43HWuL1zX
dClE5b/8fcj1/yC77hEjFfxh8kEc0v4+5Lp/WKTluHQt3/OQta3/ypCLI+mfhtzARVUJ+UngykPf
5Wf9aR1TJ5ResPF3Djyb2OOi6XGXdVbkgKSoaUdfB/Vc3AVplCT0PjgB+Pt4apd29myBlbZ+r1cQ
a3yFr6i1sPabUCic0usIpxtdlO5h2xqHIFT91rYs93tiwwxOsvLTk+sVHT7Wbnlch316FFW8zQBY
3LlpZd+H2hJsuSeB/92oQL9RgMdLf7yAzHkMXKnXfILT3pSW2tS13V4yzTaQDXXmYgAnmHNi77v2
JUyRWQ0zPl6mC7slmjCroN75Uz4jrHdLMoWyqboJL1FsWLcEEuK9OyfYiNL0ZrKppMoMtn8zosSu
9pwviXhMKlJ/VmVO+YOEPtbC4151YzQdM0lp+ByGwymHmPEVNjCQisnCjWG17/5I8ywJVKhdHaFz
psLwEqTimxHA4u0xfs1d5+1MUE/c/Mat4JlcZ/NHyKLXAKnXltHr2DCAN8XZ9bMNVNQTsspS/MW4
gAXq062DYReNzhe73r12eejkYoKwy5YG+sdTHC6prxSvkZcvAi0d0UzZ2WsBgGTb+v6byMxzpgjb
B6BnUQ7WKX3YW2jRAc8lAwLYwIITt96ppMcRbK67Hw28Wl3R3uVKYvyZicHTGk0VHLrmxzQYxYY3
h3kP1M++Tt2yn2VL+rvUUChXtejjTztCt0uykb+B0hMIg4P7qVRn4ENvgmsJ1PDGGcX0o/BkruB6
OA0i4ghpWpbDWSX51bRk+gO9GuPGRA+GFTMylhrQFipI+yXzDv9RYDxYTXjKu7ZcW7EFlno2lHNF
n4wg+gZ3ec2ANYj5IUjq+9w3MdENPsS1dDh6fQGbviH2sTLzyL4Le/w6qTd9QoEZd4FR/AaY11/0
0nxkFzNbZtb5D77feVtfNhlbrQB/jEAGyOSwrUaHtju3mm7a3L9ahus9tLQpWWffpwl7jWPZajDu
G6mDxEd7+a4tiw5SRDHExhY9gHkx6/llNwXKL5Qm0YUI4l1aFrRgRaXJBJoJfmF29w/Ua7HXz5xS
95s+dZbjoZhNc931RI5X0hzRmeD7TPFmnhMsP75VR/4mKqKh28aZBYeGOH4yrlBO+vhsuGnZHjor
pDAnscErkYpxU/lq5JmivtKoQAbggQjoaPKXw4/dB1V/6yXszA9wd9R0gyWlGHaYzgiA4TlSwWNp
N159zL3CqH9kDk+Yn5uF3AHg78N1TEspFVwYMmCQRrSHbgFzUAQEp9ar94kjJoC/nK7FtrXNNNlF
pRHor5pDM6hhC1DBxqpRBgE4hN5v3DLTazVwx4RtFt2pWAUTBUVWymQMF4mebhse4cru0VjXIhth
T3g1x+mNnxd8WD6zhaL6FFk1fsaBxh3SBtwKcIiY7wnh6CxuvwdKbdxNmgzUqeVZauV3os7KbDd3
bhVsS7ha8W2SV3z77iST/ZJya7cEadkCmyKYnc2EkxIXR5f41lFQq1h8Nhi80l3o58judgkjYeX2
1vxehX6KK6BLHsJqJiFQCH5gJ0n3cYTjF5Wggo5TNCpv1fSYnhiZhWHbvyEQJ5cqdNv3oarZKRfJ
2Fy6WnfgSIM5O5ajmN+Dpc4kYQzBn/iUtf5T0rLrqDKyCVUz/YIS3+zmPCnunczisQfvaRdXVfuI
il3v+l4Hv2KOZQnlD+782zLnr0F01ASYXfUSGWrRzHEbwLwoVd/eCP5eQkWINmBsAa325bnFRu/s
QyPiE+0nmO0iJsa0AlLSXCdFg5FB90y3jwfZ2tjRYDxs7Yo+1hue2i99647+TiRN+5ixhHEeyMgB
p6CyNtiMkDFvcLhAL55Ua45AClPyhIXbgPE0izx5LHwL9idDr7caUjbBm0C56ZPC6tT/juu5Vai5
9AotjgkyWg1oLwtR/5AP48eIGxu6LNeytQpiEa5tYP47K9JLvYPu7xDy0qtrVLDK4JtcAqe7n3KS
qFEisvtAmN1OF3P1bMymfzbCYvylR0/eS8MMMaVjUHzSsDvup0iVxV0f1vVH5XjegczPcIz60qfH
twvKdxGl1r2h8Qf7dhtex3ZBjLZWFnzEdtBhH8xJ9WF1SsHhO12UMyo6wU9A7eFZTt3wEyX9gKMQ
Dh7Sr9H4a+0bk1rbjkgYY1FF2EIEQsVrqJXmbd6zHa5rS7yWg8HBr0/hJYdsXIuzBf6DpwLrqiXn
8FRjt4nXOh+qb9sP6p/eN4Y37HGdBOVPz7zwUDIh3bVYZdNxbq5GnTqXuNBGeSly6T4ZmdOU50qO
rEByq3Y5P0CdzbahmQRvBNiw12U6HPeZjGr7RK8RoBlD9feYMIIns66Kc5W2qXVDNYL/TFGI93vu
eIOk099U1nKK30RvmPf2SFfcqpiK8VJPlIsEEKYP0cBGxIo96wYCUHvsiSgDzSNuseH0ubRb5ECC
doHCY7Ke2RiyJgxn/TwCFrllgU98aox1060EIqi6lEZad1TQlQuMGYw0UCgTO0xnzlOxBahTn3Q7
dkQ7HEd79yrri7dSUzq8q+PY6bewtCIHpGfoZ6eQQMt8pDqsjWAdITceyHfy/sMhhRWz92xjunoi
Sux7yHIa5G2dtT0eOI6PmJsWOrpM+NUpOinifFUaOWe7NLBylF4VevE5rVAM11Cj+3vLRr05uXL2
zPOQsV/YmoAFA8yX9QORhaVULzOmjp1n6skXnOxYQLwKdCOmb4Ac5rbKueXDBEv7YIn+krP0JQHc
hE/RWIr7jMkFzBj5bJyvTXow3Nk5hF4woqKm9oH3WXmlLa08BL4OgH0maKC0LECso2jwrCMXj1Wl
HeMmZRfA/o4kAfZP3avPMcAsvEKoYnxwTBaIkFxSFZF/ozlO0cW3bQWJYVyHRPesrrmBYBg/ZxpD
a47vCWuiFPETMcYkxtTN22E26vEIgKaRZ0U9aY5s7WbhAR044GuVrUdBaZa47R0wfPMaaN+5FEbi
PLtDC2ICOxX9mvVS0bMqWyFws2akm40gcp4nSub4mqm4i7fh1HWPI63w8mght5wSe46/eM3xsIzU
4I2rfkic+FCkJl4zzh/v0irDm8k1i7vZre8a3xr3Gho0zEIyFaqavXOtZLCpOu+mmTmSVzbWX0F+
EeRbBBPKm995YWSPsW8XXxKLw77JG4sshGPkR6tVkJA5yjRfYFMZwfA/Yg3DMoxhnxeUHBOfE2uq
MkqVtePuGsen7y39235u+Nuuzkta9oD1YIerYRzna44bZ920U/0p9URw5d/YO5fduJGsW79K4x+c
GQ2SQQZJHPyTTOY9JaWuljQhJFni/X7n05+PcnWVpXLbaKAnDZxRd6HKZiaTjNix91rfUrDRNRqp
dvRXdBMooUgcz9Xov/x2CPybE8+nARgKn0zN82bY0aMoyfUy62oPsjG6+eEMePo+0f4xienjzOr7
wYqhBhMrXdLoMD+NmrspzXLPU/qdNVR9tkA8FQHPLA3rN4NZ5h0/zPPm68y/r8ZcVuVEyD9+nFJo
jqI3ePDb3UTC4FM07/ByzqKgGWojSR+UOHxNYPJBPsMbZ//m6vp8t/4a53+/vMUw33BspB7y89cM
ez9WigrIvcFAaA0hv7nW7VSuiaKbeEjr5NIu35O6jfEhHvPB9akmaOHeTFQXxnuZgVYimQuPTFL3
T8NpsPJ8J0UJkU1VfWSu0TQ3ihWAKRc1YZug6tGjId1A0Y3V//tQjyma/5r/5Hf7+xfiJKwyY+TG
Mn0y5/v9w9RnEkaA4rktdhNNRyL/AFoizc1DQjRb+N/s8X5ii99Aev5+UaFKFUyPTWUq6U59vGjl
0YzuYqfmov50FBY83bR5wDO9B2FZMmX7cxD3k2/4cQw+/2RcjNEvX5C/CTLNx4v5jtBJWk6bXT+F
yorO8zfkButUHZrffKu/vwKCx9I0QSbR5AA99/FCOkLKAhlQtgvbVG8uDBL02DiBE7bbX3+j96H1
x6dQMNbnFDnP9VWSzz5eCRK3EZmYKSHLavIQtJQUXjsEPihDR4Ae0IVeb5AFz430oK8vYhrpxsnW
TKY0lHxQKaj+aDf7blO13rQd3uvD6r1W/PVH/ds9AcXEowU1R+O2MKn89EkVw2+q3A53cRCo1o52
fXPCWslh6d++Dm1Q0zQB9Mwxd5/uvSyDuvT9NmAywmHArSzcyGCzk+Q7Qen/z8BvxuL1f//n6VtK
rExIbzd8aX7s8WlkbLDU/vneuU/N0z++I87mMf7//g8Z108vwVPysxzDP/7w9w6h5XxhVE0rD0LO
DC37q0NomV9msQriNJqH2vfe4R8dQiG+6KYJw8xi1KPrumTF+KNDKNQvBIliRhDkQ1nv/+o9LPKv
5e973ORf//zjNkYpzxP517tlGYz6NUdTTYMeIaw+49MYXEcLWqDItwmjQxECunQsGVNyIivIXXox
GlGtIjXArV+a9gZYZ4qRx2tcq4+8nc7Q9ZtKP3sbI91wadNdtEzPNkbaRI9JFVvrfJJ4epFVli9l
gzfeqct6ybDEP1e8eriyZ1Fw3mbvR62m+gbCYNwMQW1d4cIL+1WgFsaLhykbL6IhgzUH+PXotGdh
ZCQH5EzAjXrZEHnt74jyNOYgQ7jQhXMB5qPcFo7f3kvmzd9i+L8MqAKI05XitWuRaRwpkigZvvmh
4T1il273E+4G18SatZnqPNiyGdMFw863IQwKcrGenDljaF8IeiirUY/ybR4gRmRYIBd9iQ0pZFBy
6nFLrJyI0wGqSTluvCSDMTJ5YXHb4Wp4DZF2nTWqIval3d5Mtep81afaPgmrNABymjRKdZl7Aops
XhcwFLAPrQAyjNNixOu4scdxWDa5Ht8jwFLxbAzNPov1FySO3ZkXh+ERBW+9Di0bFApKvJ0Yawts
DhQT0rOs8DmgT/kVNbV9KEMis32bWTqAGwzPQ20qb+Bem7N0tLv7nKr8jB+c72nSnfPIP/RN1TgH
C1bjB7RN8OB5kqxwQLwxvQQKLEmlIqeqS/dlPJeliXjpU/LJ4FLa7Zpy0UNYLQ1ulJJdG6kekQqH
DCEA9XIP+oXdWCYl5wLspEUba2ciCOotJ4TS7YXDVwfQSqHVmIuuMzvshL2IDqbi3dnV1LtmqKU3
FMgNRhBcCM0UiAeCHuJtq9tEQxtWehEmCVFIFUOlheyIc6l0PKWWV696xuWu3stqlZrBq84t8aib
C/NcI6ZuR6uSoDtPPQKLT499PjnfzMLwbwfk2kz/RXqHpDVhaunJmz5Dhr8YYGkcSaIBHlmo+mVd
CjIaFQdQtsyNilKtaguAx/UFGBllqbV+sW5Rbp1PROWtI6yh58GQ4MGWOk9tiID3NgGVU7oDpd9a
SblnTkTMslJlMICx8B0U2y6u2rSwDlNY2MRoYpsVQ/StZPCGjYKwLBhQd3ExELicmt2CPJEDElxC
ME1Miwibs1vNJjiatOkJcwoE/xXpBjCAyyDyz5tc9U9i0gy3CQT61FGbkMYwxFM3tYCJAZUAAc2I
MsviVPhiT3HN+NVUyq1iVsa6ojEOtGSWYecvtTbsbYImmSj3Lk4NZV3l/VnaiWJrl3QeHFXeBPh9
iS3Qd0U29zv1QCruD2v1T2ok8Un8M696uspghokIiHRUZx/3ac+CxJzXLAcYWon268yc5m5RZBme
LDsrjqAQ9GWPx41E+/tkSJj15WVVnRsTI+SFD8720EwdHZU0YFQbZEQAdoIUNI7p8ZF+RXafl0m1
rq0+FCspApKym6YiLwPJTHwFwJv3OX5/t8GjCgQOvBdyV8/rAroCJhY9MX/ZqjWU+PHXX90yPtYo
8xiIiOq5ngJ1SaH4Wfg0Ko0By8eHvWL6104ChzeNxbViD4/0F6IFiOiW4a5fHjFzWT6hGoLGbjcU
PA1VAd5D8c1KW5lTkBObBBdkEzGEdaHddK8g92et8jDurLLfGkOyK8VUDku9rR7tGhVAUJUbZkB7
PdGR0MThS1kO+ZJnKz2BUqt21LWlS4OGTq6GSlMv09SgsdSVYJZjscu6Ski4Smqz4j7Chu3xyHSS
oHPTGdJTa/XOI4f27HFEmDIb/bNnnQ7+ORlK5XniV8E66LV0kze9dU8DyduROuWdxjTsrvhHa11N
bYifXQT7oQPk4ziNvZpSmBc9VNlNLntBelc/7ggSaujJGY239mE7X48cMLtFP/n1ko/NzBxn7DoG
VrfhNC/XMZvsKhFMKNiD2nAFJ7y6a0gYdn3hFHeRiBwgS5nxJvFYuXPy5aFFvL8YCjM6FEBEJIx0
3bxTGlO/ALetXIu617ekW/rsLbaav5ZRPtwBYpF3ppVnJF2W1cmOzW6vTqm2FZoRHL1SrbZ6Z+xS
oNJNF8DYJRNsWdogOhBiaRBtenhNQ5+S30jiDGGUCSyiwACfk4wgNCIAv9etThNH1TE2BLmmPxuF
8G5yz0CV5SW3QYN+gKhEs4dBU0/pIzic/mwSenOcqiaAgl8Ph4z21TG1Y7G2ZRIemfIxdqpQvKwr
cG4eLnE7WKpVVxzBsHkXtdIXl9LqrXJD924E/yCR6hoiA1LOLAORb3xq+yA/Q1HTuAF0M2RQotgP
TGsvwdHou6T0KFesHZ3fJc3ei1GnFeyQV9+T5ar4gKVqiYvLtugpsU0sAfKcSOq0VyCcjLU3r2PC
14JLgkeVN3te4ZCua8y6aGb0CPCMDl5UBm18M70vjO37IslKYbjtvHJW8xpqVwHrTBLqEwtBAB8B
uYVzDqo/ux3mNbjSjWGfwUHCm6GX4z08cXut9yMrOqG6Vx2woMOkau2j2UvVzel4k8lS6ev0fWOI
5j3CmncLLdEQgsXzHlJyblK2EKAhQzbvWxA6oDmvhRwI+HZaad2Mam5egAg0PBfhjfMtrAKc2nau
xeamVm3cdF1RrOt5n2yraHKj9x00K3z7uS8ik62CZ1qwT4XFgWRctO9FA5kgxwG/8QIoN+jy5i2d
8So/7KjQc6c73a2JDiHObKr5iaz3qmGcCwiFSmKaSwr7vbiIZR8ts9YyMXJTd6iUj54TlCTFBXij
vMS24f60wyFNSEEivGPYeYhvoHml6aag9HE7O412UdvqzaK1A8MF0WIssyHHwIVmBzMubqmdaHKG
yww1vwKRN84Z9tpXGGa9FJp/QLRgUDmv5VTopyHpTVKo4c2E9RjewhVprjGeDbXr4+bZNX6Au8Or
iGZLVSO8kJrT26j8A3EuFQEkTMH+S02HrK+npzS38HXzlDIqwmxZpOdNC+tlUfRW9TxU3b0qi2Km
Vo3kcAvVXKeerW1sOGg3ls8Xjzg17CqFcALGq7Jj+GvTAca+IFYiNpSTOeViZ8nBuE6jXJ7oXprL
0GLr0lL4t0RwzW5PtUp2BDVGjQu3HE1K0NlgwrQC+4MzRPUZsQdwaLregWgQqs+DM7UvIs9gnjdA
yxCX8aKt+56m8UJK3yoX4AD1r6MVEg4DdTdY0vcJ95YsUJZXtrJ3yq7fpmhF95GlAFino8iBvZT+
Zegr6oM22KeJ/tENslbImrkyh3V4IUHOWj1w02yoDqMeP0ZCkjmqqqbAQZQ2zz5sjseibeqVahk4
EvLYA0HjPas0gld8InPVoA466IXDw69YDXpBoBOXCrpzID8wjxg0UgUu+pHg15CvAS2NrG8JIiBH
GcqQ/lXVFWyvMJQYVFEAKG6hQmu1CdJYzR2L+7yOjX031u2ZKUKUP5rVIrKMkeDCedtZehDzBTL0
wjYF+6riDEDnVu4RJ78BNXweQeFt2MAgBjtenu2syrR52/uZQoR+8wq2ybhh5aGw9mL1LhpCTNl5
eqcZhX5vlGiYuzYpvuI7ib5ijKteY95316F7vu2a6TFz1DshE6hiEaacHSj3M132FxFSfIp+LJHt
MEiSw9kreK3I/FqpHXQKwmxyqR6qwih2NmjEperF5t4RidiipIwQ6prjQ6jwnKqQ2g4D2kHaL9J7
0Su0Az6Qq36JeZ+yfsrgZfVDOy2HwPjWtoG3cYxSWUtt1I84iMMDcYzg2tpMycGadvoN+VKkeIX5
0Lx2MIGipYhr+0guE6sNtMLoGsKpRE1NB3IRpXG6tiKjIF9CmJTGBdNhxTOBbgNNk/ytXfiUhJ2x
8KyiIvcpg5Zq13z3LpkRMDboMA1Pts0XHRdhBKDQ4DhyEcsahXZlTaveSepN4U0DBychFnSzx93g
OPomNLk+fBPrPqUSDIm0Gx00Zdm4NguRr4XWWo9BGWobvQsBetoKlKI0GXlrq1HFI0QyEjCnnOjj
pH5wcNhPlvo2i5pWneZpT02nWBdO6bE9Fjd1bIHg04OmvtJ97HObPgQXEgmCoEVg36VNRlHdsrfj
n9AwpVX9BhhsjQRUDBu1lZEbDol61yA7xK2PB8Ytq65iSeoIuDB0ppGWl+pLthKe74SJ/w3tielG
Mi0oyI8AbkiD+gims0Bmwnc+wYvQz3DregsCauQZgED9su3DRroGVJls41iOcm2yVZ+ElvVvRvzs
1RNGk2KQC92fAnnB/MnYVmFMWaRkZ6mNY1wtpVsRkWfBm442MmxLVhFgXeZQK25qfhtlmkRrfGwN
MqMxyZZIvjXUnN4RAfd0TkF4aHSkCWp7b8eP+XQ1Bj4Iw0ZblJkevRFQfB7HacY8r1AvLdMrH3i+
2Lzwzl30k+UfkiAr7nGnkf0KwVtBZso+u3F4ox8ms8YvmTriwVNj86uMJOlDam3syNaJ9uwEwVEm
nrIkumj2kyU4ZpWaoiLyd01FchZjfYspeEsYUlTIq5HEpUczKKaFYvspiQMG4qUIaISVoZrYQppE
d1Q01nDfsuShWs81MY9PSCgwTPIMwhF2lBZNzKyc4VpvvQIFJICzEfLHmi57tDVmkAWKhckl2Xpc
daE2bKkhSRlDSyRRIgrVO5lJVuyMsh3WPuzkVUwoyG0VUvl1OlbOymnLLf5NZ+snRHgjMAImEXoM
tPkM0Nv8FHFo0UT3ZTcCA20GHwhYmF75TASBBMFBXePzJaKbof1G0+LbRBmLPeOhdhN7BQVZHBBG
YeFwd9H83+AIr1dTW+T7iDUDF/qYFDiec4tIikTpUYvVMW8gccEs2Ai/0DG3vFl8lBysTMqf6JoU
WI2HsRv7OMBgMoBeCj8T2yBmhfAQzLg1xgBelRAsr46Jnxi+aqHZcQTKNmc1Q+DRkzxiumMbewdd
87yzTMvwkwXPJo2ZKJ4RTPyJwDtUSGIXZOeIFWkS901qE5qC4m6VmNO4p8OXIVJ3rjiXz8aDnnuL
9hjGqpeeBTHxL2nfWS59gmkFnBDwiB5anM0R+B9wfxLDlHnarq9yDelYh6FZr7O3wMOPK3s6zLYY
lWWpeFpBICZz5QxP3Tc9yeMH8KNVwmhD964MpXPOMgrtE2cV+BwoqoEMSDpLpqzFXaQY3bIhdOsh
lSJd6kWSH5j9R5z/CtzEvWpvVREmG6MjLzoTWb2t8fQXQ7aEQU8qITzuaT1ZkbbhDRO3Dce1U6OQ
20aUZ7UKU3ofgYNPWPUFOLb4kOvmfqi3o839bDPngbn5kvg0+wpGlbOJeiu6Y1xr7Mo4SY4wI5m5
8gruvD46+UBL29+Nt352FMakasNhwI+kOp/a9T3ZkZ5nCHujYApcmUYkXyq/Q/RWmhkqZKfi/CuS
wWeWmsHZqGKnhzkIIuySfOfxWVpTUa0Sw8S2g/AO5dPcr6SngwayddQW8F0wGQq0lbnDqUqoEwt7
oEE45tLeh2ZuwE/lhKh8t0L+p7v2/02eNGYcWFb/dT9+/5Sm7T/+z1Na/N9/HJ7qIA2rD/3873/+
j5a8/GLNgl3qGw2HMl3vfzrTLPEFRxieE2Z0/I/8wZkmzC+awF9qW7TfkdPOffx/tuT1LwhFdPB+
zGmJS6CH/m+05A35cYIHZNAAvaEy7f3YlMr01tdamsib1KtUiNB04MiRNiZyRMPuvCAtLwfDiQZj
oSl9gDirxjSiKmV5GLE37FCQlGvYI+a5zIbAhYBiEQTaDlvSs9KV0nj0pwrF1/J1SyibS6EIN9YT
9aLMm3GX6lSDSU084zBXOxaHVAxEarDF/FBeaK0efyWyj2GAlQebdK6X+jaJD47vOLtsQloi5roq
zYJqTzvFWDB1CJ8QBsuDhW4odL33sqyeKzR7rtXiuWrrxi5Z5O+l3Gyvus7fCzyLMepxIuCaALO5
AvTfi0G6kvpNM1eIzVhi9S8JP8LKb+vHQh+UtWfn3makvMSKjRzYBp+HQgkITT7jJpaeDoonn6vT
xIzhgs4Vaxl1hTvU2fSg4HRY0T8QW22ucWMrGG/amEHyofZrTyyd71Vxm6opTNzUBKaFFYPo+hbm
aO8dzMgqno146mh7FIpLwLu2jN5r8Lkaz6Ms/kqfo/jqh06Lioeq3eJIYC1VM8j2hDJjL6Qj0ZDX
EFYvLdKtvWg1qW8og2MVXU1t7nqFrM0F2anKjaKkJCZOhsWwZGoT542GLEK3YWIzCxOlOhBiWjwp
RRibrNAdhrm0aVahigEE/Bp/S1gE6LVaUTWrmu4s+BKhQ0uXGg44CWxv/i+Zxo4xcOFWv6INnb6V
Pb+Cq1eiuGMcyzZG9l7h39IcxEyUggmhEwW1hb6Imqbkbce2fzG75HdOWgYnU6e01IpqpgQVyES4
bRXM27INxpOH7JtlkChwg79SP1V8xCfCB1qajAoR0NlYmhyXlWagnurBMU5WomMLTiFSwiZck5fm
vY2F5DPVqWMm1M6BQ1udRyVYecjQrixZe0+sxyTwmB6OSxMuIn290IQR54wOhXipZUcP35ar0hS7
zBH30J5wSI9ftxMkKV2fwqvQSGD9Ene/HLy8YAQUwp4wc42Tc1JVDVtVP3GqcOykbbcRwI9v9I7G
p4nz663gsqabK5p4U+kL8Er7JlJjZCR1D1zehgUhwhpUGyi2pqMfntnCTahY0KImOjQssgsNRiMp
akddIZruBPi6CF02Zj9bjdEA06NkMI4lhbLxGsBs3C9EoaSc1eGj6qtIK23266FVX8ncyncKcrmZ
OjMRlVb6GfoeRfXMPWYiv6aJ5EDuG4YXXaVfCCbbfDFA3GxRVTVXg2/SH2/92J200jhxU+iqaHYx
3A1K5D+xm4a7lFzPXTF6DX2tFtZfIpErWoDZmEnVKd91gugylz/8ToOXNAfKWHZW4NVhtxil0xar
nl7szAyiRa0XxDp2hfNa6XSm3KFRmjtq6eAZjk7/7HtRt5alN54DIe5PRFwSvjia6QmxsdnMEEWM
D4Y2Go9KNQpO8ZbA7pZOan5EdKq6fZr7j/wl6TYKVBhpiKOXveEAapzRwRlO2AkO39JuK3MVdnZy
bEZhPtqGb0Vs7PRRoKIxG2tIaFsVxCAC0CriDr6PRn54RxG4S22R7+F3FIlrUzGEhMzp3jGKrGFL
yKq9Cir6pKuhsL2jCaqPEZWilhRwlVUXK+6O+sS8ybmVokWXV9fOFZ6NyxEY5tIn13DRGXa2Bnc5
IoQz2+JGmp1zwDU8LH3DCF9yPTD2LQUpp/pWRc9GV76LRLgyIf7Qes/jrR4qppuYQY+fmQhIXvVq
BUJOLLIxttyyMZS99Af8nX6NoDEMjGpjMpJDk5+E50Tb4KNCkoIXEwFwAAnQVfOqvjJZ50+kNXtu
hiRiWHZtjMepD4yTbI34RquV4FWzKKsBO4FAb23dIVxuiLaqA34Bp1O/yQxf2dO3MbdGr2c5R0Fm
sW7Rp9GZb6Y9CZSin559hUjiKE7Dq5TadQfF55J0KYdwlIh3dkFai/7Avu0cEHJyXjfNUV5OKkNC
JNuIuUtHTfd2U4/ZBZPtgfZKHrxFUexfce7yMKoNWAoYVznPfo/eV6kr41zz9eqpT1P5leNH5Q7q
ZC8dIP5bw2gmC3yvpqwzySxmEXa9dZkOwoKdPEkwL1N/7CrFwAASYKBDSOXtEY8RjIhnbOeAol7D
fhe7RukIrjS1pllbSpRcmcAMiX7wGCxPRVC90v4KYXxa3fSkQOlj4hlPqo6NISeZHQ3yMQgh+Psj
2YRkRxrHyU67B732ozVTnhaKUwok0UkJO/dDO4Dd66EXxsKTMbwVxflkS0RZk1PqrwL62DkDDxy9
9UijX7UBxZetXb94k42sd8r0ddeXyn6yp/Y1pWe5zsmWv64AQgMxNExElDQt93Bs4ic9ZObJWUr3
LzDnqnTbkypclya6Sr+SguARw2A3KKz2YPWaBlqVOaGjqO2mEFG4IeKalU7hz+xCzWfUVnrDCZug
3ICVj/a1tEvuZlPeen1WLaHC6YQVj96WqMb6qjcrxqe2Z93UkTMTsns6WSlhCpC8woOtyHMG+tmu
7hTQr1PNMNuKpHV02Fef32vT/3SBfha+VHmdvzX/DdQIBCwcn/51hX58iuvg6Vv/+lp8qMy//7k/
KvPZ/ja/ipacfXEMKf+szHVkNBpVOX7wd54E/+YPsYymfSHziagyZIqIomCI/FmZ219mAAUKZCp2
C96E6vw7lfmnqTGZfoTDE+qnalLCZNPmE8mP4kHIhl5QASB0ZQ8BPEVz1rMf+Gn1CPuHTcZSXYYW
qEGrduPZZEealnqHLEA95nV3L/rooS2qc1lNs8ila7dN2ZzAd9EdkFro5ji23bKAFV6ZyX1js1QB
Wb/vAY45kN3RolL1tLJAVABNrY8ufvg1fjIT/ygEev9ytmAergoQsJxlPn05QMhBM41YXIY0chHx
rWPvLauKkyp/R+r5fCVjxr1IOOb4EjmAzaSRH2+jr+Bh7hjsuoCq4WGiI88Uoh2AiBe+++svJeZB
/o/yJsbmrLK0jqQw+R/9kwGS/bVPSRgmMEV2L5aH58FKs68Qzpk54pn2utxfJrKLXRqPhWt1bb1U
JWg15t8B8LS+2dKN2hih9cB/dZNl6Zli6pMLx+/eV/pDLq0nPXANs5BIh/LnakjHZSE4nA1ZeRwN
n7UOIROEQpUKoK13gqHSEuTcsDLUsHcDb3yS3fRQluGjKC0qpVg1v3cD/qXkVZt/uU/3AK2giu1a
muRn6J8kXp4JFHsUAC1z294EtOW0dEBFHzQgDenE5/dFKtlEOpQWdLNDD7xel35D1v766x/j/UIf
P4g1q5lRh+OItW3MrR9+eGAExGv7dEsg+XKILfFe0+G+t/2aLVRLXgBmHIyICiNJDlU73eTmeNl5
kbWhkk0WqaNfira6nscfg1luqMCepsh/TEdtDbnj6jcfdlZW//hhLSnZNwmxlMS9mSwhHz9sBuhF
gaMQrFQVXKNJh81S+xujU69LRZ5xUruB7r2LHLmdiIkKS/UO5xK2OgOhGcfvakKZgEjaojG2nJBq
B6A6+qIyFr/+nH/7dfmcWCV0+rW8SugMP0lZTL+0ZBhaCjbA5Log12tNXdIz3R4uerM9QKxDihZB
tTJkYyzianrsyul6TKtVS8j2rz/MfE8+3bMfP8tnABtDSy1JrMRzPRTqA7kBsaMtVJqmtOA2BDP9
5nLva9Ln60noUaTj0ZghKe/jb2QJL7YntFGuaJhdoaOiv9ZULt4fngrjGpymvrahybpdrgTLMrXC
kwzGnaEGj9ZIHzkiX2zl9xB/CIK791oSp/EBp1F9A2M4PqA8AuHmOQMqgPDSSVX4ChFZXWI6Ui8a
2whU76LADEUYgr4YOZ1AHm4PxGpSJmYmZlmjPCYlsS8eZc6icOp6S0LfuMLZONG0xsKrV75YNWI6
/fqH+LjE0j7ioYCDJ9Eh4yRHCfnxxoyEo9R5ww9Bo2M1Gf46Ks5JDUV3fvbrC70ngX78CeiV0RKj
huRCwvy0bZgTGtDM450WkQXJN34l6Y/5go2Dm2jP1nXq4Gs09NdGCVUZpJEY9QePABCKb++xIoYp
M+tvGKAWmTozGmnxNBVpNMnm159z9vR/ejQ/fs5PzTUVS5WvF5Dm4Y0fR61fM0+LlmqU3nts0Nha
if1gtBUyigqgUg/ZWTUUI0PB8t7H7IHUY8K0bdTKasCmvaUY7c6gOpIjpPfxlnaxt/FLaewnjr53
bW/ky6Jszsnw6hZG0YKibPAEKXSheNS4sFQ7Gi2YwhBWzpayHnYjbEhS9vSm5dyTfx2a6MkLZvVs
0Y+Po9newbCVLjy77i2lTcDB2Qd925b+IZP5tMazeffre/b3h4hqh/kcpRWNTXaQjw9R3DiUGyJz
XN/0EAHGLILdMhQACAt9/etLfZL4zw/se80B7llHDA3A7+O1hkgt21rkjtvpk9i37fQVJaM4FNXo
36HZwsxaYubNxrPaf/MthhA5vEy8Z2ywfQOnCJin5EcxqxNJ7L/5cB/7se+fDZ8Dby1NX96mz2Uf
5CwtNREtulFKeou/tkzlMJW3v7kDnyuVWeoNrEFHAgsTTbc+3YFKj/22kwmQBDRA9jA3B8iMdj0T
PXIY5C7qgqveL4qnpDRvo368NAl2oFXGvNAA2l5Oc1BvFWYrC8IOTaDgmCjwgCrPMn5TUPzsk0qb
vN75saCP+2lxaTgVJ4Tkea4tc1aVkD5uhKM6QCHo0yJayMBagwU+2Ahvfn2T5nnMh8UGWbFO7xbP
A7syh8KPTwmCnmbKCWB0Gandeb3FEsMpzwH9nelXHdiWMC1/c0ntZ9cErKFLw2GHxe/y8ZpOOgI8
jU00t6W3AVaBSjsshn1hYOMhDO2Yp+1LEHe3ZWA8RaF80ic9WHrKM54DfxkoeX5uD9kbuJedllvL
MLr59S0x/lan2DrFNCEVLMLwJd8//w+OpkEpNYbCjeIyLXNpRmw801t7Ea/L1AcYgeMJqTwPUT/o
jL+DfTvJx5qwjHUjgVYhbQI0YEDZ6d6iIFinA0E0UBBIvQhPiNk3GGrYqnKm10X+ItlvV1brrzt6
Ljt8jpupMPp9FANuSFFCjUNbrmOzfh1T9aYdjQet9l0aK+sOC63hI5zv5gi/X98B67OYF4sEzjRh
UeTy7jif69ssRHNga4Hl1p11o6fmJW2JLfGuCoreIUHM1FSr2gzOwPiS0wdPPslNQnrGpF7BZ7hq
qv7KqCI2A3C4yzA2loNescFbgEBT9d5CoOSmDn1aTVRHv26a2Zw60iXz11VPeiby2SOhFL1LCwV7
fZ7hIbOvO+E8aHp4psH2iBPEWhG7QQQGsFcRf03t9A1qdOG2enletaHb8UFJf75IkuE4RNExTmje
o9R46prGVYTwZ2rSpmnkWa7Em5IzyGpwYgveL5AjI6N/P4hylSuqBkpWY6idDu6oxcM6IDUXxgas
YVVjJF289JV/kSf3FkCGsHn9zU/x+f20IT5ySLc42s0Dtk8rQyuJgLNKQT2mExG7Na1tl29LVGf5
H6Xff7qD8l804pyF2eTUM4cWkv9DIAAlzK/aKd+e4uDHTspP/4LvfRUb0xAnBCxDEt33p74KA1AK
RVaQeRLK6vZPD5L1hYOPzYv1bk6y5w3pr4Enn46CTxWMZZHwWP9OW4UGzofH5s+B53vN9sPSZWCH
j7W4CbZJb6VrJl6OXABS8R3KrrTsFgL+xcGCPrJpBbGraoMoItftoF10sonO+wKw7yKzafa7FiGb
d5hB2vPasce7IkpnrWeIln9dMWpMFmFfzkqMqL60YpX4MitKwe4La8qhhBQ+TYllgehqVaOJIb4j
IoD2uUObUey6PDfOkF+LfTJo/VPnjdlzEbDKrSojKjZ5CgRgMZmhQyehq6W6RUgoH8ntIZiJimbA
RaQ2KviRJOnKHZIYJEIlk0rSHQotKveRLcNLPPYm3IWpKm9Mq02vW9saEPm1nbccCD9+YBiHRH7Q
0HwMRNYDVY+mJFnrY8kaL8xAfSijMWb6JJQqXDqwF6+GLCQezoxE9xKZyrB3otTYYzbxr0zFzFal
HerXuhm1X1WvQomqBOkVS5nc4A9wtiD1iEpUhwyNrbS8Y2dKCCacW1bCJ8cU/aBir7u2gkTo623w
MrPzg63CANmBiiZBuqdxPx0KRYq33uuGa7X0p1eaMSlWIoI7HiY9Ni6c2TWyCurIYxs3Iv8WASdl
MlDu5hQUjno+RpwdFs4AmYDj3dht4iT0AQP7XX9raVK5K52QpoXsLfXWbjVoj44sx3hFyrB6QnOk
P0daX26qyS6Xmt7EuJxUvz6hB8XhlhdZaq1SwvUOkYibY8TwulyUosq2VoQ7amekJayNWMuaR4A9
DDdMo61f/dQbbjAp9f2iRlUDEKQha8zyWvsMviOITgCPc2oLmOZNXMKtuDCdNilXzYimaUnUAAmB
o5Lk4RmCsyFcpMzjjFXUZYpYp8iVXjMKLMMNqPNIeyGDaVpxxgLVpziIeZnnVcXjZCTBvapz3pVp
+P/YO7PluJFsy/5KfUAjDXDML212gRjJ4EyJol5gpChicoyO+et7IZRVV2JVZnZduy9tfd8yLVOK
CAzux8/Ze+2pvCnsySZEuy5mDD/o2kdOJC4DZS4s+s7UYtYZ9EPP9zT5oGllHCX3tpE0BJcqJ4ZB
YUbvqNLc+YIzWPQ9j0i1oJfQG99qOTD1TlrHGPZmES08UhPdkJ3bmkl1O5Bxcup9YLFIR6V3BI+j
vvUOAbpaW/flRge08g3zgtJOBmiMfDv0vf/VqpYluyVrzulJ7yGKkXq2+NR0sfU2E+/wPMU5uJXW
R7C5QU22bo2Vvct0jc2ZoIDxCAIH6D7SZzbpVEOSsRFlI72QQLrOCAeMf/gE9bkOOGJ538nBdMQG
VxKEQRe0E1jfzr3TQb4fMY+oIZCEejxoJN69+q2tnjImgdfWtCw7u1f0JYtkcrygbv3hTgOv/TS2
NuGC9ogknxnobpAcPbeTh6iPcU8ExUP4HdSkKrG2oi4l14IZIzhXNvynGQUbetOcEzMCQubFGe6J
Y4ksEzxlZFJr8VSOAfQF6EaJPeB2y1xn66hq+OYvcmrgqPSuH2Ik6oCnyPnegX/o7Spm0hHCs3na
Q8a190YtiaKtYbLA9OqN59bPl7cO/JmzFZ0+X+lFp131bhJf+QoDApBLy70fizp9GDCu0YgcHOOo
g806wBNv71NvHG5ULJwuEGOJP6vq8TjBl9sOlJnEkUfRY9ez5ADbjZddlo9MCm2/ThGewAYinc/L
vpbpWN1kkkEq7mVC9fxpIvu3Xd56MJ0eKVR4SvZ5XhFR5gwz977P64TmEcee57qq82eXuRscUNOA
6mlPWAhYw7tP3J2JbPk5Nm4IySQTRnbNfKHZ04ioG6EveeweCdyENIELA2AxYiSQWfUKu9J57Kye
h7DRe1/gKGyyr+Bn6i+Qp0Y/aJoWj5Porc7eWc5a11d5lpeMkFsCBUSt14TDGll+j8UQ1SGDYRad
WLfI/NNKXZALMjO9Grj8y9ZNOyTkTj3DaBZyxPPVQm0xb+qmbq/iZe26Esg45xvaFP5127gS6FCc
vCcIJTa10tNHRo6MBHxpst2APvX2WQOKhEyMCofobKDSZZSQHiyYpfFGq5rpwhqIFQzMOZIX/Tg4
SwjvrMB/W3XVtZ6JQW0A3kJH8hiijTVWrY02U10OBSmTBgNteKG9pBwuDHvaNaaZnczWQBIrKpQy
AEKT/TDdtP20xEHCHIv0ITUspzmr621fFKVNDqFFUnrjFNmr2+TlVpfm5TilCPky2fOnKr7hXV25
6smU3kh4LRUHM8vOTgKV62geq1HH1965zM9VbldPBC0iKLc6deAstO+AKgERIysW1YN/2RGxjTyT
8COy7Xx5kZhrJUxUTZPjAY9snVy0pWQdsrV9a9wjxb8jKcMPPH1Y3iS7ARt12j1K8AmX8VJN4Yzr
gtxv1d2XoPJRMEtiJOLOXGcxLy7F/2bpfUKmR1gtolPqkznZ5gHflcurKyFkd0TDfW9SPxrCSg7+
bU97fJfLsZ+IxvbqCyPqiq0zp/0h8kmfQgOStu1mTLPptJhNdyrjSmf4E+VX0mYh3xJS3pBTNcVo
ZyzP0ACTOiiWgOFrxl5lsw89P23yFW5R3QtM0he4VsyTRxjX5eKn1mWf9F6D/qdXX3yes42icfXN
mSPBoaW0mhurkNhfCt09ZF1XQoetscIirxJvPg8MmjGjvGsyH363XFJrW+SxddDtrv6kE5mAS47b
X0E0/ELSJ8OMUeSLClInRgKK4/K6zH3nG+BvW98SjU74etvVXztgROHCKOyxEUp9mzCg3OI2mNBY
ZbMHNxv3lLKVSxCSm+xHWyffUpM1PiXCNt2vxWJmAB57OX1yLISvgY3j+HuUNMlNEWnmKetrPF14
k0A0wRRj4gSnvH8erNndukPjPWiWiW+p0aP42UXdjoslHaavmpNoXyF4taQedtkEbTZz9olXo8en
HXrhT2P+zvdtb9HLzETS9VhDlnpWlGdpi49jaBHQ+/NIPyJTI0IjkzG7CBx7nu+8uPUgVNrj58Vy
nJ3blMWLLxxKjRqGFmc3FY0dIKCOEbZozHjPrRpPBnNtVoc0au9SXJAN5QsJYVhxJCuVQCcnt3Wf
tBhuMq2v9j3u0uhYt50ebzx/ciQZjolxreraehLuOGAlQAA479KhGIxgar0Yq7EAopzSjIWxR6he
t8H700LLXvQFN4ho4J5F89g+j8jUsk2bJnoVpouMrlJHmMh3Oic58oT4UBBF2r3EicumNtqecZ9j
YOvJBest3DFF1h8EbpfPlpU093UjFW0qzkP32WzRAITTEWq0ycgYsb0bY5UspcaqXuIpQMnEvovL
C7ObHIN8FTvhFiV1D3Y+b92IaasEHraqbIyzTso7a6bGVT6FbAwlVX5WVcmzwqo6q63EWXnFXUC7
PgFH2ztG55FcSrt4s5zVWohJrPes0Hxiun3N+IS5eX5JV4mXd1Z70RxmJ8/bVQWGdQpFWNM3Uw1h
IENDpDqmP6t4TMRVet+tgrL5rC2jxmRsYXnpdlllZ71XKlAeLUtUqTxnhy+VB8daxWp+4qEEOyvY
nLOYbUTWRqwmCjeqXlRUhHuifJvOKrgoltq77El7xsHbHv2zXm4Zmgo4WIn9yDV5TaxVWseTjcqO
yLjqxTxr77IhxtE/OFOAdGK6rXRJD7w8K/ZgzqPe46nCdrtK+iLkaUdzlfnlZ8UfqvJV/XdWArZn
VaB7VgiiwUGZZ6zCQdxtaAgbP5LvFVbI+9aUaAylnqOLiWAsaJm2bNx+4iavssRuFSg6kYlWMUIb
UAVzDH47LhEz9guE7+iscLRXsWOyyh7zswJyWsWQWmcgizwrJIGCo5Y0VuHkcNZQequcEk0pykrB
mVPsiTiJLqpVejmfVZiLZcS4M1b7lYle5dJbPVmY//MaZz9OLV1TfTg0ENFR7k3buBXN1jl7vMrV
7mVlSUa3BQuYX2lwyVZbGF/auqCZSjtpNY35uV/uEIjhtLE7SRQZubhR4MOLCzM3ZryZ5f19ZfWa
CoqzQy06m9VW25qrL3JLgCpeNlrW9qVeYHCjgou2As8bdSr5N7yTW0I1FIJKP/4qVpPcfPbLaakR
beLVRBeryr2Lz846TgfZxbja7Rb0guG8WvDIc7idyT17NpAF3NmrUW8QEyrByLEx8K9GPquW8aWz
mvvy1ebnQfVEGbma/6pcF09Nu2ClwzHHcCXVCnOHuA7PIHb11T8YZ1Szq6nQXu2FKWXpNj97DsdS
Yj8cwLT3Ldlc5Len+BNj6HDH6uxa1FcDY4UBe0cJ59w6q8fR+uF2VNpttTogRwebZRCvvsjmbJFk
5RVHmnL0LlcHJbLO6DlxxMLSFsEo9PyYgCXVrwZMWerFdbm6Mk3YjbfQAOnWNZ43p4Hp6HhGVy9n
sro6sfJOXhCVWXbTyiaeN7ZeEEqwekGjIp4ViKKsewAxnH7qV9eoj2/+G++ucWucPaWru7T1M4ym
jpgT+nOjZTyJ1Y0qjTw72o2TATrXiRfQV99q0aEITX83s+JrlWWfbPrV6xp5TcGgFf+rqNEwRNKa
LrXVHZu7/CVBpGGb44pXDiRRs39q2eqQUJEwTZPe4O8ky+MhgoT82CU9yRxzXwvGVcno7JqcGNvE
FNNVhXTVCNfKxQ4JACgfjcLIdgglstvKEu8uh0F25SZXCg6n1qF8mOBNsH1uhzz3SsSk1vgZC1DC
vVyaytv1Q9W95URMhf+LwzkhxTgxDyZTLnKy2mna6E62chTnxL5Z2FJ6DL6Zrn4MMv4/biIKwA4M
Rf64bXjzlqLC+rlt+Psf+b1R6P6GSop5OkzSv8usxnNoj2f8Bsdct2xDBwb3g2P0e6eQZB5YV2cU
FZCzVdvzj06h4f7mIThBtuUbPzqP/06nkG7+L51CeBU0D1dg+ipSstCUCv77Tx3DdHAaz6qgoOBU
aohTK3CvBewV+lXitglbG+N7umrR1ofkUmyFLKKT4ZRyx8Squcwzuk3RpBdEbZqpzzGwjol3EJ3b
Bx7jpHZP9BTTZyPF6eYDEdzGHSU8fcQRiKA/N1+W1Jb07Ct5TE2ZHAr4yIe+GPBrqj45NCipbwjI
sDognd3gb2zTIhOnyMEWB5DSexKbrbYtj8KT1mWK1MYnbpJMzwg69tWYtXmDgJO5EVqXSfseKfpr
gTca/mvqtzQ39JEWk52lFxXuIvIYcoJ9QE85T0r3xLQ14CuUQV6DaA7atOV4J+BxbIaszD5nnXwe
Fz29Stv0kSM3Z8G4GI525rQvjrMkl5ZokntqTufBobl0packnkzg0jFVkyScziV5lLOmIQ3S0aa2
ckeXa9n6XDrgqRxDtaYln7lMxvsW+GSY+96VV03yUsRdiqoCa1pc04NyqIAiz84Ilavl1naH+SuR
zKQN2RSZaGA10qhT+JnYelGrXeQr0DxUuklOnuprgNWVxButrZ61gIu2RtJKw6CDO43MIAsME5+M
eNFvnRm8lD9I6R+9MmVB07PV0mvSTGWqI9QLh4mxOY6YEy+dmKN1oKPuu6m8AsJvQQ7jSjDG1XE5
ImkxUTrXCZGlrgXSHpm5f6uIhjBDp3Mtb1fOqGbVhDYYR2OBBpcVmVNrX6DlRTHAmJBDzHVMVM11
OmjZV20AABupsdyXGbhRftIgifnwvU91p+yt3XnTCQb3cNOR1MqtJJx0pk3moWYXYzs8eEZFhVEA
VHrqwUF8rmqjxZU3tsYd0QLOjSPQb23sNqoOve3KA63wEdVgDzu6A5X92thpdqfYw7amlsTNNkvn
OT6N/KRh10uj2tqoVaKwBKl1D13OO3S0zA9OHk87POh046J8HevU7ppwLDvmhQ9YvlE7jgNa5eRz
NYJ8qfJ5uO47rrGh3Ox5ov6/tStyg22K/sBry5tuMq7NeTY2OR2Eu7yRJmFFGpeMjkfYgoi48unQ
FHtp2x1vNSDv/di26CznUsPXUxOwuGx7P2sXEjwme2Oh0f7uZtFzB0DglDVmeUXPfzrGNUjbIKMc
OfSqsE4VdvuLEuiWCjAGRjeZQreOYzEqL/sUKMxOjEaKCF9P3Tsib9VnI2+TDuu6dK9oIbZfJmER
8mK0ZOEF4I6dS7uO+uk4ekL1x7KJnXSrk2Iyf7UoVswH5aGp56BdvUkOvU4cGg1l08nj2efIZzTk
yTxpMdq4Y5K5trE2tyEFVKaV69/gGET+qazYiXFHmCm3oiJDcexdr7igrAIlrxvD/ClBrgqvuCue
DDFZxUXCVGOf6vma19vZfbYDFitIgce/lm9du5dPaTqN+95vaeew2H/uG58jptmpa23USxjKtu2F
tPtcjD5y0t9czu97hVfjChNGvhsSLdoNwNYdPAKLeVMZ0/xaUtw8s3vL0G07+zDxFrHC1vHOy7r6
cUyFQe9JX2hRhlC5q7d46Ko7jsDR90xTcLZdhqLtOA3Qa3X+YgPaNWHJ5mJN+yk2bfWYEoFNQ8ZV
Xhx2CZ6C+1k17rB1FfG2nKP5X49xRmQ9J2dmzWlWSvjOYs37KXpUXlf0+2txLHBYFVtbrH0oI4+X
x6y3BHG0YH1pNqIlTZilWy3xpXYZD6Gn/PxqsiuN7QXgRU38askAF02KAEe9n/1qCXV/dQTL+Eaq
Qp5aD5KVZk0Tih8LRI/JxhPQmawvsOHTEel94nbnaSquYvjmn+y0iU/dOZcXW1r9tW/5OTijeSUC
NQIB4kxEMkSsaR6BNu4a8Qsqgrjf/Bz9G60pwDQdEU4O+ey/gs8yCvipKa3f2sVLEMyNXvp73KqM
ifVinmkepbZFqiMIp3vluoo8I9BoyWUEqgq2RN/TnW1Y4NMbqODt5VgABjtmzPqPYy2s8Upa1Xgw
bYe3QGnFZYUP5DBC8UcbB94jpHRDuzwm3b079R3o81Z/abrl3hrA/IDXiPoHfcqtMog1rPOcQlsX
DxmeYRWIJXde2njW5QZcmfPU9nbvh5ZDku8hB7nFebdxaPopTGoLa3bWhfo8zt9jw9c/4ZYYHzp/
7ZNUw9w9MGf1Lxve4YAOlnVvqMZ6Ap9eQFIurQuFW57xWLsSsuerhSP+FDK5GEnPy08Lweei44UN
cOQsb4Ws4Mr3pjXPfEXl2NdpUtDsKbiVELmbop13OHm1cm9Jy3yncJr7Xa15xXxnxnryyU7MYf3b
de8yNwjg26dmZX7Kpoz1juFBV1801SpTaIumu9HougJVGIT/VEu/OBhlZgFug41gHmzNYCRIGFvE
eDChXgvwweFVV7niRsNJzYobxSGn23qDks8rL+SmzbRu5iAJ4Bah4lxSQzBRw+om++emIOOzF4u2
qYhsovka2+pBYVp+8dDni5ABiJtuGRqy0OgkcYaJFE0TCmkVN/zq5iJKNF0dnFofpzBPGI8pmegm
8SNjzOmIqbN7qOYOJHnbk0a8ZnHhyk/0hAXbWQxN4ZMsxiuXvCm6RmXn0B+yjfoNeK+dQ0IYAKYn
jVmH1th8IxRSHmrSQr/11rCkoTeB1Ag7QXRbyM60bOHRZivlRI+fCbtvTzZBv0+k5y4l4wHCpgaj
+uSNqCdwuqaxsXVR/l4Wrcq2WTFk/SYpyjekyxFbWdR+WUpIxTSPuecDQ4LrKa85IWJaoTlHwh9r
SoaCUzpkRe3KvG9us3RZeOUj+tiBNLOkDZDh9M9pT6Qg0ihEE7vYFuOXOSmEDPLcyOKthpPsUrO8
+FOPie87aSsY8aNhlBVH+GoxaLCtkQYIp2lGdW3dsCozTwsaZa2pHibp6JHICtxVffR5aFpaT2bS
7lunEwGttRrz57xsOUjtKUgPOb0WEn2yrNxZM1YCmC9MdPIJdbPpjVUwFqWFx8xlCUyLnElX6udE
vnRTyL7PepLzVF7EnhkduljWp2qIx8cm8sZQdlGxwW49PZOKI2WoWr15jdvCS8MlScxvU1GFzIEJ
yKuWZywR3wcamYTY6fFBRYIOpDc7DASs2bOJ06ucah9FKK+CPE0gWsyJmBkktfoXw2I3ekqaSmPm
Ppn2rTk43trvztqt2UpgUyClySAZffqVLLRl/lrHNnL3hQVigyyT0ZZDwBzgCFI2Dy3bRchYeDlO
0D7uKz8dP+MBW2OYpRhpqVNlakl5ORD0pQVNlyXzQVOFNwFdLzE2lsIfHwE2YCfgrF1hdMqLV0Tw
7ReBkMjeELmofW8tDUcsIib+7slr71iBdBH2ulk3PASVuoWS5p8snXSbjXBN/xZ0RvuAshfnVOTk
dJPHuWy+OgCcsLgyETbgebRkdXhT/a2PXd4OtyMI5ZIXj8IwLZPqxXd69YjN2zz1tJ1ui8lQn4AP
YWk0675is4udmX02nklfTDV/b9FBPvD0MMtj+tO/WWQLpodqof2F8AyGp1659epsGT0cYLNZDptM
wcATK49EygI0jabc+As2HAdPF3OKgPgnbmBXmR1AjlIzXmBU9ReGM8ZXoyhWeKC3lmCQOKkHikW0
FAcmWnFqQtge/qxOc4RXhoyTudaCRUS6v09Kq/jOIpG9ZOPoXkkyD5ElTE255ZrRjR68FKNhZyTY
RIFHgZiPqs/KyYZLXlYrTNNRC4faNC4MyF2BByuLGWs/bllVYXW4SFVA4PqRhcs7M5MwXmbSAmLp
v8V+zavdJk7+OvV2dmprm4Ghm3qkYQ6qNV7NPsVMrkObSbVc7GoYF9hIyxpB73TZRvQ5myUn0cJM
5I2ZLeUtaZ6ZwP8A3M9XkoWlrvAuIikObRbJF5/cxaDyevtrCiLldZINKvWaQJ+r2S+z11pUJMpO
Mn7oC4O8ZuKBHqC1c/5z2UOuwbZF417QR+4I0kL4EPJi6WLX6cQ20OlswWHF9nYqxs4LdCKi4cqG
Zfkw02gTmJOX+Q4rFKl1AP6GDfNm93KOS1mAiurkZ5WYyWFaKC5WvhttNKgtyZtj1hSLVeRtG9st
9mt6RbyzIQJcxp3f3zKoSoDWjNqjzxjygfWC4EiTn0FlhGJ8WKM6u5ENd17m4VGMeE65oRHHr2c3
Y7WdfCt+aKrl00/tj9sf4tGfCcgfRc54zXT6CAwWEfqCAv0gcq5tm+zvAuhC49VgOzwX889UOdol
ZuF8AdMVlW9//okfleiomHCSIVX0dfS+zgqS+LmH4ZncSrPulj1JtdkdpvHu2kpW731puBe0bt29
sfIb/vxDf5VY0TjhZ5LtjkYS46YwzA/KWZEa1RK5+bQfk1ieqGu6W+SYCGf1jIboQuQth0AIpOPY
/NAE/nc32f7Q6/hzQPb//n9IzyewMNK++uNW3G3/hjL4e9vOv7Tjfvyx39txkEXQ5a2NN2aZ4Pa5
rT/acSs8nMMabTcw4Ejm1//ydz8keBNLoNoHl0+MtrBokina/WRoG/pvOIUMeoSmQGFu+v8WqWR9
UH9WYzus/B7tQrYkSLqU7r8+yHbtz3pf9w01jP0coTNSHiUCWHoXxDdnpLxZoVK+eyJw+dtPV+r/
5q398NEf3BwiM9w81xWTFAukWpwwQUyy5VDn0evYGH8Zg7H+kp9/6arKhwhOxYv5zxJrKvnPr2wW
DRnmKbBuA7loGJmjLvRpDm0mT+S7WdVfdLLN9tzpZitl7219d3DDvNZt4LT9F/zTTWAt8WdIdbdz
517Z2USsqrSDTo+emiYSXCoEQ2mVXRpAlrZ/fq1w0P7T18fBATQThagteKA+rDgMgEiwGxqLZMAO
ZTRCDpiHNPHYWq21rlqIPGTD2iz0x279PksfrMi+EeTTMvVhj9b75ku+0LnIPP1Zs8pTYlp72gCv
sYs+CRbPkfE9NSpim0AUI1yE1SIejwDjqwR3lDc3x7gR+iOqGEaPkWwPjJs2M0Nod7mbKz3MgOcN
dnJv2dkhnsdXxB5BPiaoxYrNFA1dGKf5HcyU+1rOWIne5pW/gp7m60Se1N6doZZQN7tXVetTkht1
fiSvpz9i4ALfrlZirMePmaCCWa1h7sEPx49Ort+VmqSD6PPJZjPIk4in+SUrOndf+Rldh6Rjo4QS
H1hNyXaM+LzdWEafklTm4veVY3PQ3ZxdzuU4hvrUv7DAwaC3YOew/EzdjkNk4TFX5UWnKu8rul8X
lU5a3XjMsilP1/4zfbavtCj8rT0m4rW2l+E7NEv9YjAuR5GM16O+rPQoT6kdMsVqZzO5uijJBoMo
tYTgeY0dgZv1W5pmbyljnuPIQRxkSTMiWjLuNFW3NJ+TiyiXz1j9LxpYEvHgUL1wa2w1twdD8Qfq
LOIQX0TZhu2wueIAtp366tGV3O8/fyDF2qX/+XWi1KCN4ph4uSkH3Y+mXIL+jKbuZpJIpSwBHkMr
LUPsUkkell5c06mwzcc0FahgGEl9TSJ77fAydQyitKHl7ZqfYAKGy9qyG/ve+z4hAn4wc13uFXT6
0PGVfp+YVf4EYKzncBnp7+ef8D+b2l/kYriky+Ar/Ol+/1Myxr76Zbz0jz/xD4c/7CybVCM60c6P
0IvfdzTzN4d5iMD7ZOkfdjSbKRIlDJRF0nuQx7PA/X1Hs35jYSPA4u8yde/fGTD9UzHIF9Px9mOk
xY9G5NKv6/yqiyltOY5b8pwq1jPYhFHWQS4yUJtqoGt/xKv8oTUbCf0vL8J6IdDeCw8NPaExH0tB
GZsqd5B6YtEkjAif5vuAOiSYR5a2n+7Bv9gwhfnRJ8Rn2R7ODNZ/k3Gd/mEP6x3KCBIViFM00OTF
hW3XIRmHxjETor7Ko3i46tFS7aXoyKhvWv/NkdVwq8opPzJB4NwM99S4oNvGaSzvYY8xdI7bJ4vO
4UiwHD0xKMDGRa8LRTjsgnhZGS593IwYcyZaaFfdYDSr74j0QUZ7ufFYeC2JdaabNsZlZ7X6bSoh
lIQqXSKagq7FSS+ptlQV2dqFlf17T37xd/rr0SYvsV9VkVxuQZQQPo/iM943Q5+FEKmHu8xZtMtG
9/Xh0Fg9ks088fkqvRtFTx5NjxSQKn0k6APSjYPYm12mO7Hm7uvFJKqQbqjWwL8d0Zori443RoGh
fS8yrb1wlXN0Y54HgzHOVnPLUzk7j7j883qTo9y+WGJtuUzpHaPXl6cpIQbUivSBLaz+ohXAFT0y
ITJrYfxjuycsU22Q+sDBEYI2oelr7WlO8IvrfT+ge6FdIw34YxvN8coApFe+NbQpv9Bm9QWaGH1l
wjc2ENGQgruwrabBvQYFS7YGIQxJktehaUwdJC1/y3I57/NY3Bmo2pTQ7udm2NgGXVfHYLiCA8Ri
7fePojEGqheTj2/bLKAv8V5mqR8wR+AfOKa5iJMPSnY+Uls0IVWi9I1j8eHCKSgZPP1u7A3a3BVa
IaOMX2KRXxUlxCjhxK8joZmBoUhetkptn476XZW3INO4orm5JjtZyQOZljGISfFm98xvc/fYVBm2
LdD9OhmReDniOhTKvIvMnElTYbxlTrFj/W9oyHZ7zjTvOG3ybU4Tjxbg+xB51xQ977mfnoouvojr
HDHDEDXBkDQPMZ1+Ooh0oIbLJMqRA2mnBMLMlvqW544ajx5ExGz3lJnWqG8yK1I3TUcLWKu+lAMS
iRGoUmCO8lL3p+8OUR6bfGrB/hdrr22iWQQlrwwGTrfb3qSHs3glvVofJWtvedeoP+JrM5pek0g9
TcxcGE2gXM7NPA2dSHuMzBhNrauHhJdFgNNUFAoXP2hOaN/kxJcxPbW904ovOd3uJEI4j9kZJtmY
vka2tQeu0dGkNN2Q2RFe5IpWu85HO6PQcKN0A7xdewy5sXdJMaOqqsYZgaVUQcSghMpULI/oxtl7
lfs4Yp0JSrc4YSLwAkuvX9nMqx8F6/9srn+5uRoAltjb/vjM+B/l20vxUv7tpXz723X6rXp9af92
VJJ/VT8fIlf/3flv+rHp+uZvuLfZYNjSYLvo/4nV8TlgoleFkYLA1LUhK/7nMZL92LUFpmdsr67O
YfIfmy4HTJsCjkxAzhMkzSHT+DeAl8aHhghSE4PmhM5xmQXZ9s6ij59EHUo1ClnA1O6TscAPYRev
Ze3lW5PBVJBEbU2KlHzvnLTG7pu/wpZikIkeKWzQ7c5pRbLwKpyMptEmECT9PFS8tj9d5H+xexof
Ns/1KyKH0deygCtCvfFrYWAOqMcZFbZQ2EE+aIzptjFjiWBO/NPQNC+WOV07qt+oGKlB7vB6/Ze+
AC58waVy6R79+gVEbtTeaEncvSst0VymIVyFCSjGo22CVhNMBUrt3u8u+gSlbWbwPf78K3yoVc6X
ACKKblgcgnXvY62iLNTBspCYqTBiBZRqj33CGtj81engfBr96XTw+wc5fMzakIMW8+tPdZZIdfNc
NfuyQmbQ0TzcuV1NoE7h76A1puHsRBWmAhS3Ay4NnFd6edImcWeDaT4h2dfQNZjRi8rscdtOQr83
cza09b3Y+/bUHvuymvctjq6tVrOcIQh2tzZ5C4yoUPK4Nf6VqBe3jYazLIm4kHPjPMNROeqtYtdK
G4htJbsdNIeZA8eSXM3Rp2UkaykpgNaQDLizpnG6nlT+bphLvlWDfC21wtsgq4Cs5n8nxfzeXNyn
P79DawX364XjldAZghkOHSMOV79eOHcpdRmnDRhwkyZsOs3PGR1wJtkd+FORhlbCWNdtBn/355/7
kevDHcM7SjXPwQufPMvIrx9c1L5bY7vM9h7Z7luvk9nR9ZbuQGEp0G4iCkzdBQtEK5i2zbzQJYOV
0PVKbih0961M4h08OR9eFu8ULtV8g/XLC6pmnPcyo9vi+YJ6c9bQf//Fd/9wFl2/uwM7hgAMsGPY
xT70RvD9WFiNEgniXZSbRrPty/hcNQ0gMMe+QkXZyT3w7OKa0uM4mCC58/gC7Oq6QTrHHwuQNe0q
++S4CKcZcmDD1PjRZHtS6EozDSdz+fbn3/uf7zUwK8zWtAWFb1ur6O/njlQHslFvB772qLWraIFF
AboEPpf1QrdO7cNWpT7TLCn+4vS+ttZ+fcr4ZItDnO7Y5AZ+pHf1oohGdCNyHw2qZuxIZqq/klP/
/Pf9q09Z2RIU4/w4Fpxff18p68IkoUPuk9kt9y5T2Avk569//iHeubv/8ccAIBN0Qw1kjeLD3Ydt
7Lr48OW+EvI9ciO46Y6ieAIYr9Aq85L72sjeggt/WxpLfoHg8N2IreWuXrKtvWpwo4miybDA7Bad
rYHRjfWDVDzkeTYKVEQalrjSe9QcuIiw1K4FErQj0hNgPBPl+wBsdQcwHECv1MXWq+y9Dl82tI1J
hGnja9sq5X9TiW2cON0xguuh85IVwUrUeB7TEs6KYuGfmgnN/PngWqNa35Wk7AWJX1s7IdTnCZ4c
ehV6c1GXvRZL+oox+K6ol+giqmEaWZTHsFop60lXhTtXHrTJ11fFgr/DqvrextSVfcWaS/gzx6nB
54EzeL7LWDHFquWrM/AMWnn8qVlqoP/SfwRxxxPY5XxvEyWVz5gpGcSWOKgvDKaICl9X73lmzIx8
S+FIILximkoR5hYfhuDXejFWD2cr3HyzlrMqnryN2TRAHYkVImzN/lq2IguR2ol7DLkUD+nCRrw4
2taV2buR8KOHuPM2BYLKADHnPZiV707O7jmakPtGAgQGj4V77Gu1zdlANhkY6LBotS8uhNCNFZHy
5CemRwPRjMLeUgnZihzdcjt9BYBQBox9U5ig7MBy7kzCMYuTLeuHzPAfG4WcvunbboOblfQreits
LIMVSuyBQanaeycldq6o+xsKjH3klq+trtojQsdVawiewsfphT+YxbJtMif0JJrsRr6XfouVqBku
m24AmZq/cwrz95NCdB5b/FA1FjZH7avI5An0ysHb0N++ziMy7YzVeJmjLduIno5oVPOcM7LTQNJT
X6FIqMN5yN85C/PEcmfhAb/bRrUmgDT25yGnzUuAF7p8iyAFCETvlc8zUaK7DODZeRstqU6Tywkv
4bAVyqV4NatC3vR0cEJn0LwHJeRuyZJXtDnVIZlRFzkAOdGg/x/ezms5bmVL06/SL4AOJDwiJuai
qlCGLFJ0kijdIERJhEnYRMI+/Xyoc6Zni9KI0zdzsXdIQbEKJnPlMr/hHklPz15OVX15MWQGt50H
BUQKYtpl7c4jy8ZsmLx26OICUs9egpic0U3sezsowoOeixfofPlGssLFyri8LFy1cN1wX/b+hKse
AJzDbAVP+IPOm7Q15b+2QMkKg59332nV7dwVjARXYbmpJl5Wn63ZxmoCVJcN5pwpK8gWvP4Ob9QN
E3W4JIB8z6NpGJEY42zbBCxaSCUvlwvncsli+gpmLFJPB8ybaSyDrflMjwFso4bN0jYTW81Pm5s6
DFukhnl3/gz8Ymn9k/BQV3FRn9lkGnGxfBrO9Yh0YY6V4n7SVIIgSl5BUxGwfFoEC/fB0kU+aH3B
peneW0X7DEM42HhT/tp6XHXc5i+XcNH78lVDbGEWTySocqzM847SVa8VfuPN+UYJTTk/8hApBsiH
FvIpsmR/M7jiiGRPfi6w3dsx8AkQABYy8hY4tFZ9vpxOockqNpmi75FojK8sL3/F+yS+w0MVvZlO
AvhFpUx1aDW4k7Ujnv6oCoKJbbFyK5KuTddlH7uOfewYfO5ArEULnwcyuQcFUVaTX63hbEZ+BOKl
d3sJSr1LeEl190wDioOx926tGjpzW7j31DvVIRNsFVyKXmY4JtvAptVRgA34VzWRrueoB0EnWo8d
r/ZvL3c4zvJ13RJt5t6vRwG2APe64cIu76CBuZshNwkOOga6Mp6DJHfpgKzLpgowV7LQhKsBh5i5
I86uoiPRwLeCKSN3ymQxXiJd4BBM3DR4qmeXiEonC0mocPzQBbOOJoP9C2/cikZj4bcCxzgWsouv
9Pp2JoOVRzf9vCSVuXNz9iHSCdPVJRJjUEMihr85BFN6Epzx9I2WgA4/kKoNv+FxJcG079aORdDx
Avqsb/ZZ3aOai7rybR2ache4DccPZF+sOnlil3PFllwU/Bm2qufSXYqjOZXzwY6ZxciZB7musGkh
GKNndo+YULMfFl7VWLPoVEjgKRqWFRAsEEkDr8YOSSjWtwus5xlfAXvjp0R9qqAKdjsf2A5UBZf4
W6zRMW5TumlS2BsjrIEmA02J1jOOaRBunSmr2u3ZQP4iz57HVVsrMCpvEBO/pMNoOBdRPyp5Y8TF
/NEEXnT0sXECEkpyBVTx5bJWKl2+oDX8Wi3TU2zmMwcGehHDwKNeTxvwjxyMmi0AjB7EqO/JnQfC
Ccg8mApHI3wE5rQH8V+1e3SbQTt5KrsdgenShVvzc9ffAxgDT9PUHHizbm+Jku115qT65Iz0jDrc
DzeTnU47KOXhXvZjENV1iDJZq51N3Y3zuIlT1zyqZkleoF/SWwSUle0H0eBNEGRI1vpgA6EevNZt
/RyrSu8nKqvvBvIAj3aRN9dmBdgiafRjDpT5QJ2T7axYiGeoH0gYlDNQG9/OdmkPlcy2FxNjoHbv
LpRJaKmuqUEzgJpzU/9OIOOxHZfZAryHDDXU7fqE62EGTnAlGC7q1haps/dhOF5hfPnSGwUuk74F
g19iumBBqtxLpl/Xi2I7NRXBfi3zACLJXSoy/rfOxABwpMfQAPQCNwPYD63K7VgXtDyd0txCoaCR
XyQOOQrzo7SkF1zNPLHBUj/zhYRNDy6U6rZC3j5udGT5zkmH7TPASzgg2H5uBpxnbga7HqCb2viA
CZUj44VlYhqgpVppPoyZIJ+9VP0mE6LfA1q9onf+NSmSES82BVGkDeLdOMUpcznve+OvE4b5e48v
38YQKUELEOW2DgYJiUojd2FlYAdlldGZNem8ObVlUsNhG2dl9hGDHQzROnyGhsQBweHdGaPcGooA
0GHMlKCiHwUJ7zRJb4xRXWdIprEIx4/CHK8A7ASYSyMWF4bGzwZO286Hpx1ZK81U9sY3VxN181bY
J70494nMLVBf5hlTG7mrEkKmmffQVDNhHFsYwLtuKtm1a+WzSGYX5kJYyvrsVUx1uE+huiG5RaSp
q3T+aGu0EXjDy3YsOIGcyotfRzgQW8xVik9V2zvXzoIZ9Dp0NkSHCyYtjlK26nuywOrnJO6jxfP1
QdYkwenULvtRkjGZ1HBykxsWgWuN49jmntcucJsQHEzh6sgY6vCA+jK/tVb0KFMQDmy2KZopHYeM
uLeB5kH/yyRcWtZtvS5RCuaDM44v4dAHB1kN92nAiolD4HxGNRA0OQrW61xb3oLuw6HzBGUhp/Um
JM2GmvuCasGzKXtyZNe875YJxjaMmu2YdtPVZayUmT6+eX5yVxXjuZnFVwrIdm8OrrruTEt9hJP3
JedMQwXh0FpzeIUjlA0RJJc3+cjVoFEU4Niuya7XcLrg6XAje068IdDNHvb1Ey3nl2YuzyQY0x2S
M4os0L5pFHmNIcIz1FiPuhGkprZGpuFTieUCSm0W0y8Ng4rxhPJunTFP70wlmi8XI5GKNDlaO/OF
wwoDcWkcUZdBFQav9xugojxnxw8+1XalAK5n41PZGoABFcsN3iQykgkex1Km4NKIazEQ+0i26XRr
GLbVb+DCE6RXJMEwNOTenV64WXJMaxmaQ5XhKVir+lgk4hCbqCqLkMmEkb4mnPZKcQ51lXub2KyR
y4muJ4qwNd1p17WasExuYwcJuIScgOIadwy8tCKDC0aPnzOzwti83KxVyzLRIPIBYu76RD3XJUfP
MPbjh6RhS1muycuudHXQ/RxfzXQmN6FZTDgHavnQ9kNGp11ERsLwZ/JTsjsq+uhyyildV+dsYMQS
AnndJUEozvCjiPoWa3hK7eVrCVz6h8qmEAAfHxCEUC9DKLDb3mA1hTNic8XY8SmqfDWxw3wp46E6
I8vwcln91JuR9uGKUay+0oTgrgrvIZiygxda9whLUOrFnFx5Y/xcG1Wus8CPScLhxm15I7Ncz8B1
KNPXjNo7ciiCQtLcqxD2vaNDiKECgx7LTG/njDBGM1JGJeP+rXT1ldEDzwaEeD1byxI5LV8/F7A2
cP5h8mFYHwrYvUw/mBwayHvuwpSuFKudIw4b8+1QOfeXsxecesdKip/+Xvi7f2ovoCNpmQhtwndc
lev/2T4Z8sEfEgSzDkZF0Yl8IR5yWj+3DU3B3IQ5vxiCGVvPW0ZgYdmnVtkTappPbvs5aJsnM8iA
d6YUumua0fumEXm+/ySH5M60pgURHN9A5kUBKYdOAzdruPNKA0JeoEmAdfLx0si81EjMw39kukxf
vQl5VVd790IuyARCYT9b3jxdec1UniekUShK1qQUjuNWMzSlXsICGz8/ci/E/f5VhPXAmB764EeO
Fe111bVwJ5I1C0zX+SA1785NgvgkhZj++y1yJgJIe4NTQ3YYhNmvjzQvYEQkF8hyR8kRQGm/6pjX
Hj2LpKuU7qfsEnjp4zOiZbsJdN7eaVH/oSkWhAwzPKT0mIC87eUB4ILaZsn+kPudw4RzSY+dIk9K
vRblayNXiHAPJkPLzH6nXXUhnr5pJFG+h8jm2wQMekm/3j07G1iQDPtD0KJF5BLUdygOiIdshCTj
LA2sHjOPo9hEPwsK512N7MZj2FgHLGnE899X99pufXMtvAG0e+0AAgNGZr9eS2/1ZpPWozw4axBY
GwaOZkv7HXNg5Tq47RJd//6V6+29+Ur6owDMGE+YgsT716+0K5BsyHX1B9yygqhoZ0DACX8SRf00
dQpbxtQY8f5UxTFLhvL492//w25mTsAFhFCD11HWr99e8lBtnME0GF6SMUlDZ4tvz7/Z4v9XsMYf
HitdZsRWoSD/YUzFaWq5TMmQ4xWZs+0XWEYqRylm7tAcLL7Musje21N/ujEbtGZAf3tFKL+5sbZC
HXxC9PaQZHl3HWsa5hlAiRMhgVbOGDylHJ8bcIb09hitl1MxI8kk0KlIcFYshuzH8t8UhV775esc
ETQJi50m8JvFhRC/ykKzYY/J/GvduPPPfyW/CGNhSz61t39/teuU8c3KgmnooywuLMhCFOa/vtve
wio6rmR3CDL/VoFu3FWreiGe8xmCrRzAYvC+gUH52Jh4opr+R5Uhdjpk4w2WdT90MELYdbPlHdnz
t8rzPAYXgL8LYImVh0jI24Eg1Is5QfvnUIYDfZqC5NlrCTW9WXFkIjfR1+05pUn22darhXrNK0Jh
kZYuoAGBwsFGkcdtisaywH1WYCo8+3YUWuGTmSMTcXS1Oe0WhxRE+7hG2PcWOU6f4NRTJn0OaDOJ
Up9OjQ84cAu/alesU0cJoQZORpFvnVLn285ea2vThO8UVyUGzrBmhrWVtY7tLgdbvpjq9PdX9hZu
yrNZJ8nYJ0I+Am7+dp4bimFC0d5sDgnS+ZvZbRP4KQkqe2NJX8xvoYOkdkbroHQ2ehjMy23SWt06
RVuTEPq0amNOugVC/FVj9kbkggWJhjVvXla/2A6JuRtaEsgGBXRCMWB5L55drCh+DWg+aCnLAysF
Th8R1DfLbtDEeUWySVLaoVQXGNidwQ+ofPXcW/h4pl55Rn9FRSJH5wQY6V6NZvNOWP198fvIKrC8
QOybuJe/WWVlvtjNgBXJoZkxrh55MCvqJasG750vsn6PNKuvTRCC4jZ9y38baZiCxGhMShxyIZfg
WAy8aZYr21RXr8UCvsf36Upla3e5BRa6qaTiYvpwRgxogEHZpC8WJXwGbersl9R7khLwAsKp15qx
oninv31WNrN5u6ANh0G3Ef194f3ppTHAYwDq+mzP3ybHFZWrJZa0OaRdKXZwFDNoWsgwlR1Z54Tp
SWSP/Y+1XrqAZ/o2fZ3L4J2I9QZDuK5+YBHMEzE6cdzf0AyFBWOyEaI5mE7900Y0YstjoINcAIYa
5/e+zfodmeD7NqL0zH3R8YXf8etCtWu0qoA0NswvEaSWTT3v1rHk0lnJNhSJSwOXhHrRDDnAPeLJ
uNTP9VTLG68kuXfM5KUJxAyjF73mgcIbnikEcwcSGB7q3XCT2+M7RkO/n6NcMTh0EmLUiEkaf71i
hXBjCUW1OfjGnB3qrkHgGo/OqDepn2hlgyAzi3eGln9I+Pk2VgSMG5Ow/XYnFaQOY91a0ApzGpst
7HoK8ck65widHdNS009N8C8Vsj91tKeuQ5tG5dozpN9uRNhLm7usooWAXlC30xJtDRaAuKK1IvYt
2WxjU2KmoBp3tqufrYV869ITqQSFk8X4eY9oJNEsc+nXruMXx+ozRA8AspU1bCp0X51DgoPWNovt
jwWgq40wGOo1wgs2C0OHfeqvyXw8hgd3nVAC9Ly/AO4vs426cMwNM7fvayXsZZqvm0wmFPFX24CQ
3TTduF8WluHfd9wfwwY4bgA8zIThRrzNBgKsCZRD2EC0Mb2T0MkiTL6XveWigUJjueYMpMgF3/hC
25xutsuLrsY22I29VUSVp8Yrf6ZHdIn1JfIWp2zOMI5xOmjvWltfLqNNpxG4MTOtvSoZd9+mOS/h
73eyLrpf4z3YWLIL0ExQFs23zgIqcRjBIh9zwApz3vTTWO1Kf90STjpcJyost2GwlF8c3ON2YEHl
O2em83v8hagDrB3MC1gj8RZCEWILjYRyVR/MgilabanpTkj6/UFBJ9xG0vJT1bgl7hupPPWCPSId
TsgJIUSCMn9yZdXuetMv0VdimXJ2MVHyGQB5GF+aor+Sc/0M9z3bXuYPtDaEQZ8vnvIoxdTs2W3W
aYBLkz2nKXkwy7XHtwp+SaT07lU7Op/Mwt01ZnhWg5VtXG9x9/OKeSmT8JX/GHoUhvkTHHNxqAIA
NtJn3Pj3l/SHzALaNwJAeE44nMre+hT/gRQbmNVV+ZjWh5YhxWVAUKKLAu+YiVCTsQ0XjSpgIqHz
msi7LTBmt3H2ieFBc7qMYRYTUG2jQnvLaX1frPGt9Z6wDM6YizdfKib66KMxi/DRSTj8/ep/j3tQ
fMko2PcmZerbGqnXRtOBgq0PUL4PIma+uIYKOdOOvHSjirh8J+r9ljzjeUccsCnKUK3gYF8v6R/P
KxVdPCtJJUhru9nMjQbxvE7uL7OY7vJ6e4ZCA/EFJAegkX4dAw66DTZ2jd6oapWMXMAsG6Aa7wWP
twfl5eKgQUJ64QT03fXn/7g4bw7y3MBl9ZClLQBuxTWgssMUgHFZsT6Vvz/+P3zdusVBKtmCYuK3
Y0c2bscgUh5Gd121YFhng4TK6Vg71I7vZZAX9ts/Iwq0FpSe4HqvQDZcKd6s1VQNTBvRyDykaeqe
QzyxiYXK301OuGfUhO3pKMlIshUXDb/PPWaIDhyFMKpbBy3mz6NThnc5LoH4vn7A2HKKWk97G2cc
2mhkj+7ornTXRYBsbTjO3qbRVXau7BwENcJ5h2zR1R6RA5rxqF+vs+t7ZEbyU97DF6rzrkUi2MK9
KAgaBIIIc1ujxpDOSVyMMOx0OE3xuKcj2UYqaR2MTxL7CiyHwURFfujwRIGm7NsH37J5hgDKz15r
5Lh8y+RDRZ28XxBb3BVVEOz6lB+klvEiVrSdGNv+fiZR25cFXCM/pVKL6wHAORkdHUFFWz1jTr2r
ZGlfAVB1wYHJMN95ZVvtq8bJrvpcDSNIi0rSJYttSPdtcAwRtjobTYznqfHYaOdDkmbWzqA7fB14
xkL7ZxFf+zG0D6gZue9sNPttou5bAUmYBYiWqGRSr/+6lsOVL4F+eICoYx4cL3WPXYAaqTqTyTa5
VG6VJlrPbYV50uhguzuv2uDrC6yls4MH4TG/6MnrfeXnu6xIvxdWbmNe1nrQLEaPltLgRLMR5DuM
9RiEV6raM0RwtmtXYh/Yi/E016NzDtePz2v9QafWk+uDNhknDySJ29tRr8rqaOVd8E7D6e3hBeyP
DcUOJo8h0JhvljqRU7h2K4N9qpaDgiBAi+id3fs2eF6+wgdh6KKvi0nlmwdMFebSCEgCAAN5g7oL
7ddBYdsomwUwiMb7BHGy96qit0kBX0rsdEhuqCcIG28iVGIESLSnyt+3td9GDL/wiFjMlrEb/AHU
FGKcWdzuVCsz3jpadu+0tcTb3B5i7ZogWyTw9FPpuPy6qmYo/0Ne1v6+9xqDuXze8bZR6UbghC+M
3fDUhDo4EO2eaDvIQ+F4w8e/R80LAu6XMLZeAy1yZAIDQL8rQPyfUZpto3xLGd4+9yQeg3PbHUvH
VhTiZrds1JCFmC6Z3TcskONbHqRzW0+gTittBY+G9JddOvhq241Ovu/LJXg2O9RSq7Yju0ubfSlT
9TAi+HBylc/t6NQ/t63jnf1mbD9ZCagEnDQF0tKhvrP9BEH/wSjeSb5ci3v45R5JYOEjwitDEAgL
2TfF/ox/kNNyhO57dtV5tDFHMptEbMOhHq4uNxH2aXFnjol/7lJ+wOAx3oYo1u0KAXYEKexlZ9OL
2NppnBxD1El3fp1jLAye64Qq7WsDFuNoDB4QsmBYdlli30urtKNGZcPVsqTdsWg9BQJggTM7+QNT
7S4yXEyJVoO9CP/0BYRPvc7YK2NfNliQqtjdJCji7aVqu9uJ39w3mBls0hTxWiTO4Y6Mxd28NJ8W
ldsEof7KHeFHLQ4WXUmbDjdW5utno35P38D+7aTlcdKEB1Pp0wrGPubXJdOEYZwt1E171K3onfRY
q/j5cM6S8RHX1xjqs4Njp0ZAK0N6fGvR8drmbhMcZVD4G+R6IHExX8a4iW2WV0N63coEBSlIMIyX
w+WaT/HOA9J9TISd6kgjCdnlBBNoNOO/L3kTXlPlmVtTA9lzdefsWwuH9hLBuK3h1Z/QJen3w2Q8
lTSkd3JBM+fvm8b5LVohg0m1SdvIDdjAF8/Of6Q2eaZnj3aKu0eApf8QwFH4ak0jQzAuHFpcD7e2
rwN90ONk7G0D3dh5adNrkevgODsIieRpjINKUZcfs2SFd2RsO7TUXQQ23NzYW2PDwvTQi1GA43am
Yo1goJtvRRbkKMsEIprxIJ7mVIAlcB7HwX52DIHkSug/xmn2g1qn3zTMp66xgfCPCaANNIqz4E6T
T0ZpgQAd4omU41Xa7Eq8XQ4evYGDw8hvz2CShY4SZzRhRvBOD+dPa4fJhUPTm7jzW1I4T1nKjJK1
MxTuK2yD4G7dKwpO1RYx/+GdNq7/28mFcIFrg1Cjkwu19C2YuezpVZm9JsICp9rhBho+AyxLrxvE
OLbmUk577IDy29TT6bUVKAKeIv0SIw99Gloy+GCMt0wTPw9hfB4T7yZe3G4vQPlM3tWMrfuundnX
Qw7klX+7bcgJd0bIulQ5x8dqpbEnbX+tu3a5t2rAfKKF/y3qujtCFRNMDqfqnHf4i8jETvYpkPiP
41CoBwb+qNtY6XDfZBk0cAuchnQELS5vaSOE1YYbwFzhiYnsvYYfcwzlTORYwv6m9Cr/rGBX3Iwm
YblrpNx36+UwMcWzQJXDR3dmbXUDx4yR4rq3dS3UrutWrzpuRn5rmTXKY6oyv9qxjw4bulqIAqS1
sQ9VSdsZe7g9ckgEI194UUoviAyUDbG8s9H+sFpYJPRiVjz6ekr+Gmk6zytkmYCKDSAqEkN4fqpx
OZxqp975Lhvi7xv79+9jqgginRSLQt19W6V7sgIZvGBFU5QlCUjDbgA2F57AHAXHdMEd6e/fJ35P
LCnbYEpT8QJT9+FL/3qHAfA2nKgSZw+OyUbkHmSoEIF3zkoGUdViptfo4mRR0nmYOffqqDrChSdb
O6pLNr8/VowCRh8XKSrnbdhzUJn4fezM2lGAEoQ+NC23knm1eig7wrVbrYe7iyETRjzFHbKV35Df
EqgWQOjNLBadJ4pv4BfRDfVAheZ1hhsMvcmnOuCwW7zgphhSuWfK8IqmXb1bRvdV+sU3K+XaDVNP
+zmIl2v6WlYk+onGSq2euoW1Lgwi/+VobSSpFpYE6TOIMhsxXwD3ApAvGBF2UxhySuI9YF7XaWFe
j9rRh9pbT1P0eLdJQ14iM86ZvuzRSFj36mwRP/CqQqNyIb7JgXW+YJOzQ7K/O4KK5+yRhN1ONu2n
LJPGnudmR4XighofsiUdl2UXGilTgLmd/v3TgvWezb2xV75BNV+DDNn11thuJ6AFm3k9dfPUwkYq
kz6bhXCRiZF8QE8LD3HqTqk2gxvRMsDHvqI7hToJjp3PDq1S/gmaItiWx6HedTXgbzDf+qCSTt1m
AhRRpeOac4HbNFyR3w7GsuyaQXRRP9erHXUMjxd50AgN1eCATcpHb/a/l+B1UfF2rBO7czjDqbEj
Ihir2J2DA/LzpCzYKW0u2x0JsQU2BGp4hsEpgPZdvk1Lnn8a2pqinddxWe3/33if6xd9rxmFZAmw
3v/5P/79xatCwS9/iSrNAXzf/1Tzw88ORb3/TV5c/+X/6w//4+flU96hdAr4/cJb4SV/4XSqvvr2
Pf1W/Med+vbjZ5f+k8n5fz7g31RO/z9XERfa/bblCvy+Sa7+pZ8QChSBiBKhK/CPpVD6LyanFf4n
5yniJDTd4X4y3vkvJqflIbpgIqDAx9GJgd3432FyUli8yaSBQIAvhzEKEQxxj7cO721SNnPGoXRS
WZbkx37p5Ae/Q5h2Z8c9IpTT1Bf5sSyqpt/4DbK6CAdUfbtDjdk60RfLI7S61GlJK9e7ESYMmc2A
xAvWIXaXfcESOMSfJYBBg6WWSq6W2oPo4ioLQ5nRtJPb2nXL7Gg4c/MFXYW02tUiQ5uP0zyhjk7K
Lojgd/qfupGQKrQ/4vHZDBGiBihAZ4Hz0iyzxCOaEoR5LXqUxQ6RvGDZLiiT3YcCbZzjhIrxsrUm
c7aO7YThqgIWBvJ4gGhxZ1vtEMOyblYnBVckNxXCFffkeU28ke2AzIDIx8bdtkbbYSmAwehrmpn1
AlwiYKc7juE8VGnswEfDReC5hb8FpiSIZ6SADX3X5Hh6g7is+i12Y+jX2soZvqV5N51cnE7oazVe
9gXcR3dUscPBPdamyZzAw1WotLyTEBpUc0XOugG8amEdCFnhSXvW/Mz4KMBNEZ09ZKbNOjtagU+5
YC9K0nWa89KNms63b6xSjDfjhL6CXaJV1i5OttzaWdmLR4szSmyUM7fJ3gkbO/w8oEt4mtu0E1ER
YvG8XarEatG+FQYCgEWiVXZqu841PwTrc5HYGNtIuOfwIIKnDnrImo8w3Y2hZz4z+4RLOQ/rw0pP
CF4hZVc1Y8THONdoVLVYLwXl/EFAIkq2pZ8O4kPiB0yeDV+P23zMW/QAVy2m3pwedGa+5nOLCqIE
RjUS5061QXeYHpK1Ua1Aorvv5u0wx8stRzNy6zYmevPi6H0mxQx6EIB6tkm8EQxu2PuPNFaRxzUE
zMZVCcjAgSVy8viR1Ap+fzF8thqbysZjCsr6ANDn/hBleaoGdRqnpDpgWViusx1ru2KYI5sG3k1i
2dWVx7J5QDLOOOFzJreoEPDo2jY4QDZaqdCrrDBgg8Rwttg2Iy8QBzcUKN0NUvnAwgaE9op09Hmr
TvrDQRb2ECBg/Rkfpup2sKV77IeVRBXW8P5DzDXdocPUBa+jyC76+sFXTn3LHJX5vHSREmXCtgLK
zPhjUkyPUqNiOSOheZp7nIJb31dXjZeu+gb4NPuTjWR8ncPazm3U+4QkYUJTGZOzeO/FhRM51Yg7
DPYBmyGmlSB0f9MyH27BsdNpyXGEeCrS5m5oFMgWcxk3PfwSsudUf4jToiNLmTW5Cogut8QvzLU4
xhQeYsMDVSoqxL7xWFXNz77P7iT4io0bQ08pNJqUVd75H7RmlyWBAVCPnzDbltUz3dyGYGQ/YW+x
tefS2Lhl/AP7pIPoq/COk9b8qfKMlV43143noyI9oqJqhugJKzm9+pW+7hmgbtvR4M03CLoaaPUb
AIOTzVL0GniDC5PbLgz42xQfy1x35zw1fEhhyKtT6E/b0ffB4uKG+Gxw3fs8jxfqMqc9IGQx3gSp
BBEeGOMj+OJHT8f5VeGWPpyMYqA6VH4UOJMToedV3asu6yKU5JMNo+DlFtxS7+zmcnKPKYaDUPmM
od+hRWmbW8dBjmkuWgM7vdiaP+G9guuOHY+3YYh0qCd9iRWR637XrXptWtvemfiJXU2Y9OxTgbwF
RT2iFXIo79yQnnSiOwsLMhvWflNVe5PalZsfkUZxVl8qnCVplloxkVAD5YncuQ0+j6GV/GjkABT5
H6fq3b/6Ob8oPV6GeP/s84DjYEZJWc4MeC0b3vQp61q1aY728CmwukHvYjGW3k5n9fyhg2Pycay1
Q4yrYRaMNn7qm0oN1VPVGjPdk0L86JM2zM90WYWIpHbBMGC5Y0KO4u0D3sepajOaow8y1scBIGLA
W5pIoYn05PZlMH6Y4O8jxSWXEUlSWz7MsJBsdIBDb3Cvm2wJbpall3dpgEC+0zbxalpg2/gKWrp7
ARe9Jmap91l2M0KnlZyB9PnwlTdmy6dvYh+aQhjL7jSO/nzoie/XSNFM+wLJ5s2C/vSRyXt4hagJ
MpcWuR3OQnTLw1h/CnOj2XmjAdOrp5FOKluorSYPYQjtYnM0cW7poKYTD5Rx643hMh8DTxkIyQ6C
cvQAiNUD0QP17qhM/HjPvpMhg6cQx2biZvwE4TVfdZ3lnLArbJetckzjQUqviaZaux+wLbXvOjtF
4HOcowWP8H2WYRchqmWlyOai/lDi6LENwJh/ACLrfq6Mxt4NNrauumgZjuuqQ2GZgWljpnpvY8Cd
ukG17WCI5vP1EOpvtRaHPoWhYNGTv23yl2GgijZEcK4xRtu6NDp3TKS6h9SU8MZqHhz5xrbqV7EU
OuvGEWPF7Bvp+qqWziSj94crbVQP1thnt2lcpoC/be9uyNKjT3P2xLGC3aT2ik/Kb+p4gzVRe1r8
ntpjbrohahJIMVAJqud8BmiAm+sLilPuVikHvtICBVewNj+0fiseM7yDfKAKDzWWra+gWPA51m6X
7A3crAwc2tx4OQVo0idX1YDYzI9idppn+sH0yALph84Bmrt72yzNYBGUXXf6HC6T6HdIETffZsRy
viDI6iyPbmzgBTiD0pqRUUvaL8JO0tug0RgepZX3Muaxv1J8mCYkrm28UOp1wNy9AQUZod1DaGDY
6KfouVtl7j3atqG/26AvNtIKy0ermvo08hnQHtwiGLZF27vIs6XqpsfSBL0hpmFf3TJIHkxHOzco
S5ERtCPnfD8mO8+ZssjzjOCppdOxcTLb+0ZWK32OE2wDj6PZFlfZ2BrQ52DVmJuuMOQDUsTjuGXM
ZWPLoPCcogBasXEOCUcXEewaLOsn9NATIhbISbX07Za5aXKLVFDI47Ryjn0fGDsT5PZhrvPy89pP
/olKNVZQUM0sQmTNTKdpseeFL1OyEfrq2MzhQvQLINtF6CFVnzwXzobEpfm2dsrhIcnD8LnvqJyz
0qFfouLkYTEQsdvYpqoeuQz5hJcZb7fNOJpwZTGvPGxYr9PWcSGIB51/TiVGdlsVti5GaXUXWcr6
MsOUuqLxAnvCnGX+pdCZ/zzH4+vQ9IaJltkwHIVZ7a054+ga3dzFc3WevoLNUukGHc823XTQFb/B
bR0esWlxnuPJRyzcKoe42SSdFaBVCYHtSGfI/rpIeMQcSsYXT2f5Aw5j4bema6cn4aytK5rukha+
hUInWbh7dHJzKCJ60BbWnLVEd9ZevO+95+THxujxRrPpl0+R28uec7Wmabx1Jj1/NQNlIIWILMCm
inMby8Mqlgin5+2N0/vjzlys4YdZYszKnuuCz1TsSgPcswz7upa40OBuaKJP3Y9zDOxyysptYygm
o5rD4gv9o/LRHQN5GmOoZ04CZhEejkMTzIkrhCmwYLQ34xB2VwQ9hF5MfFwLBMjact5gNGt91X4z
yyM2V+nLnNcUzWVcDDdNvuAFhDoz1CLpd8s1VpxMxxqZXM8T4WUP6sT/QTkrznHm9Vdpbil5YC61
fII2ZjWR0AIsaDIZH6vOTe+0VwUv9ST0I4w+mozrkqR4knhuqDBhE5Z1TvMxaFkjW0Vv6gxhRmBW
JELqH+SecZfUCUrStK2TO6gDaDuZmfFhzieCvW+mQOamBftA3TsVdLLSCvGg6Ez3FvtQmngMNYeb
FqLblyW17RfajDMcvdxqf846kSecTXAjxXskea4mOtd7CUYVvRXHebWyYUBfH7JgVOoMon2b+RPm
4oMcNiqX7ScB2nHcGtVURgBJAkzx0JXHKS+YcR00uolZ3/9i7zyWK0eudf1E6AASSJjJHWxvuA29
mSBIVhHeuwSe/nxgt6RWyRxpdm/EVSikaIWqSG4CmWv9NpzaY1PH3gWw0rvj88nPQ2swddpN/ZpV
A/XOvpnnK/g4UVLEWZWvGYVq1SJz266mNSGSayMY1L4mppMya06AVSyBT2jdK3ge41IVF0zf0aWL
RLCrNLNxF4MVmLs6j+gYSJ25ndyMk1Ysw8gCF8rr1nvCNEbhhiycR0Mzxg/2GLMg9S6yrEVFNtzI
oxDV53pUI0BbiwdrrIcXoev3vdZWDzSTVtGa6uTiQrKDTqV2osJdPwn5jvV3Ll8Y0/YcBULtKzkk
a6TfzUtXmc2XCnQ3W2lD4d4XOq6tiQb1p3FIuYno2wz3WZ2FqGgdlwRuzGnJhkFYOwUFuuZNV2r5
PgRhgjIww8eaPNDDmJttfUjIoYi3Xqf1rNq1O5xzL6wvjoutISUzj8yCTC1wAjR7x+7dV2J11H3N
uKVWBvbjPauSHWwMZaZ7NPhZvSGZL5t7cpn6hRgL51IZ8C8rbAQkmrn9uNWrwXynlqLek0hAMbGR
KOL7nRGbUW0NHvtkyQQWAk4GC6/S1FWrh2wRpXL4dGjj/RGUqYZkK3azGuMhnTLkJ3Kpsc5SvsgK
7yzR9FerPtcEAIQcHMaieHwKhpieAD5iotc9r4zZpSm9a1ZzZH+/oNKDRPSgn8wVNaIV5Sdd+2DJ
NDbIhFAg21QZ58E2wM2/QAJSnVz6XraQeLN/vFMvZWH6ySXTMptnuJ7PzTIiNn/FeW4S2wBldS1h
x/p1zyYcbVVljcwXTjEnjjMVIYQRxRr19sDDnHrToqQc/XOqJ/PYuG6ir7GZTJgMsyAJVhnM4xHd
VaUTQueP42FIey3YE3pDJRre0fGt9Bjb9C7OHlXlVT9lMrh7XfPyZ0n195OX9x0VF0IftoOuGfvC
AFC1bdXtaf1ylxOuy6/EGEY2YmSTmF8zOs2XVeP2q9HwG6SGFCpzJVUrOAb2OJ1lLBMOa34AmIJA
zJGfFlr52ddXyofJM1D+CZbIwLMPDrqGzZhCJBEJMt33atTPKejMSmhJsfD8horASMXFXWN7/mcx
lejlZV3dp7oaubObptt0RauxL7ZmdDcBSkGUh+mz5Wn9mYpS9VCUTo4ebMIGxWetXyIHhZ2Xl/6p
SXV56HnhH8aW0b/W0nEXOIqEqUjlX4Xr5BcpavnAY88kHFsHA1R7r2htfgna3jpmtjEdnclAQSrN
bo86nxyG1sy3IqkWjSPvmcnrW2Tb1ZGgBfQ/nVnsEjuyX3V+cx++ScohO5Dc9JFVr/zJSG7KLo+u
jTMuganoJiBBJKBGGZyBlozgy7XCRx/R386S5TqrUxOVnTcsC/bM9WjK+oYsglevJ5+EKsZh64Ve
vYYywrVvozcCNn/2OLCAl8thL5vo03BgBkArCFurqbpA8848ILqDCMkCtoM2Pfoutc+wgHS4GSp9
Qw2cnyaLYiKPki2+ybTZIWBpd3C4zkpr3XjDz9NsnMginpO8rYLL89+vcf+gitClhUgdOt4yLGLu
7F/Yeo3jNx84SPaijwRj5zyluWYRnMsht4al5BEalygRjEXZmcTwjDRyEizn/6+Ot38gutGZ28i7
ZmyV/zLdX7wpdedjKDUctR+JkIz7pv0AGh/IBuotr7m4bm7YVxpXHJiEKRvu+rFg/yNxooWe7Xm/
Q6t/GpSQ4GSjqINNFlNtT+iAzKp3W6IIXlmNJp8rXLhXSHU+edtMX9xKw2D4DchlQ298OLnK86Vg
a3wG/tCIA2nNe9EP2mcdUjCIFzh4dHSzc8g6CaKXNjJnM1xvnTw9AhQgcOGZvioelChUt1Vhx6S4
YP1Zj5OeHIkeqFfmWJgMEmZwGbDdLlvkSneOk41HtMXmqUsDrkNyczemSl+EWei3rQgOzkB/hJhB
S2eGL8tvJBNnCCekht47XAO5yrvyG/YMviFQxF76V/kNjAqrcn44ru1elUzquymYjGeEhFW1qAii
Af6aB3bVyo58scCNdtHc/01OD88pZSRM98b3pO99T/3qewOI+mT8lHnN2QkDdom/9wSjLcydjzVg
0eKVFEjJ5nUCNMl+R8KQLiQ9hnvNF48QJN2+VJRFaT5IaDKNkq4ryqLRK7CzoEVgfXHnTSabdxpM
9vzjvOf4oWrDtTtxP8fFSHaHMbARzbuRO29JBPJGq7rM5FZUlPjFMyK65DTRPtLvJUvN+1Y8b17e
vIOJeRsbNeDtipSKkeqajnWt9EIx3duySV6lSMt36aBzXeXkEalnbEF8SJLaxHM7sV9uB8sGCwdI
L19qv7TzH1pod9E6lF3w1ZrYlq7//n0V/2DLAG4hsRB7oICfIDf8F+1Wl9O/QmZFt4+YtU6lpgLC
a6Jq1dRmsqds3t1Xbp0NS78r/LWqCUdPC/8mVJQHLzR7wAHbBhVo2qRRZU6qVbnIs4SeSa+iA8UC
J32Bsi57itvN6t4aiHkoBWUvwRgNuHLVBaHhZcArTZTAYPQ3Boa6FkJB+Z/oPs0NwZL2nm7a5Jak
NUpwlB0fTNu4L80QKaN/JaIOc7YfIMgw/Y2hB/e84+YZl/CJxQx7tmbpFB9GutQwO00dV3bl2pQE
V5LMDZsBlbtD3/Wlk15tO9aveDbQ8hWWDB6QnuXbgNiddaA6LVgUZjGAvZGJdeZwqa4uVXCbhkmm
XUmwZXKWiYjs11KlyWGq9IyQYoNEBxbwMv/hdHMhQuJ2DJKyvQqvb56mYPBXhRn3s7YoXXm4UzO8
2g4FyLAKr0qOWb4csqLe+G0SbiNs+gm3ruXAWcTtJnbGYJe7klfOsgebn68m22DM4v5H5nse11en
+1s24ZzS6sYbZ6EnIsOF01E2Zeu1f+v3XviRkfuD7jKI1r6fa3cKZASkICKtOJL9IY1RRgg9Ms5A
ixNPJUNnGnvqiEhWe/PIglvz17Xww25+l0SxK8B5y+pRH33eAGymi35o51LJsg83Nj1YmOJkvxlx
mr32wogetLART1WM+BH/rR4ui77iaKIx9HZq2mBFFKR5lJxSS8tx2nUB14AbhAATJzTix1xvMMSQ
H43qHXupdYhM3UpZYmz/BouUvrWdUOe99mLzpsyKe88biLdJASjs75sIcZd1a2t1cBro68mAd/TO
X8RYZt1rThWeSXcpJJLxzScZreqmpf/NM+kz5VSD6k5w2jMT5TcprJQXjTEBS7n4ML5ZKw/+Snwz
WQ1Slw0EtPOUfjNdudA0SQX3MEc4cHrnK0638jUA3Yt2JrKl4Iwx2dDX8z32w+oGRYeWEm7FIADb
Fs+E9qKsFf/JZmDaJ1Lr6n2dknw3DNLYo6pqmasr+sEWnTcBNZFNlcS72LUpLB0BMOSqpnjmaHYm
80T1jemqGd5NpPFC3w7S3jZ4ICjsJarnF0TEMENOdKj8CQV/7zmb0ii6+bsm5gWm9KhCKKJGK+Su
TMbm/d8fVBCkf6cCxDHNYMEhZZGIi3Bt5jb/JNqiV71LgESdvRcQHuFdqqS+Kfvb7y/yX3Hc/1nV
zUOR8e9vEvuvpPbvNPZf//H/Ho4b6TPKlH/NcZ+iqajfs1+Z7d//2F9Dii0czrh90X45/HL+oLVJ
KJ7V1bx6eBMFQpK/8drWb5aJ7Id/IZIxHMnF8kctgDB+Q7VqIxZGqsOfte3/htf+hxtMkqaKMhT3
BpS2ZDP9+0eD8rSJdKms3+U9TYx4bcrtIKtsW8dU2CK52Ud+z/tisBgH3U/h2/4pkCBVf/rI/gmB
QU3HL4/o/H3A4WOvxRBtAZ39/fdheoFWGIXfU8bbpHTBGhvLTIhHXtod8qsjDGhlX32iuroI9G8E
IF6IwD/FzCCLqjYfuopIPbGbuBeis6nnRzPGHhm5rWR9wpNlO8fSKNk40JFasr0duxGnSkMdHkFB
cD2PQwMBQqyu8nMqE5urStRlSIi0oFWOu5pWY8DRLLhocZmR5Jw8dJFZrxszeLecpFjpoN8ryblY
kgdXA/7zhVadixieY+qlacoHc0TQ6o/kWJrXwePKtqwkXPDBNjAhL6ENWRgUk76BQFwUyiaHPDM2
kta1UZwKrdjYlUmi47OWTOCr8T0pwQdSI3fCdA45fDH2BCjB6l4p+UpOrbMYVXJGg90trKCXS2UV
7s6U0TNes3PtTgdbyZ9FGO1c/U1r9EeQazgt51TL+s72ja1oizWox2oQolpQERiAmZOZ2CXrOYiQ
XucfUWXayCDopM0T+0t4k79vpACbmcyMExHpg3KmIzPCSXOxXJG4ki4GQzDf2/dZGuxr/a7JnSWe
Axub9HBfqeCKNg3cELTqwfQSIovGNQE+rT0cqth8zAjBWOiaBSZ2X+Xqq8/cvWr014lEjBH71iIc
ypdgiDajjI6iMiWKeiAEv1i3jvfI47VIJDml7Ajo4infafv1qPfnQPNf/HI69rZ5h1IbVbbTPRom
yijjR5Fl50bvj12vgNVpHC8UPC1sAKpjkS8Tn7lDteyO7VJYCJl11gSHR7MK7UcoMn1BgPOPAvyb
OO1sVTQUeQsCVbK4/dTbEkha98n+HQ+An2tgbTa88DnOjAcre3bqerrEOJye+yk7Nol166u+37rj
jBvZwbC3hL3CrnckIHNlV/mOjpkXu/N/JlpxGqdLKR8bK8NrSfE08aj6LTcpQ+cw7csgfraMfIAc
L6hQD6/Up930qlqRcbLppXmxxtvaLU84Tim7DLlnrbG4Ye/bdZ0RrCiSvbbUJa+DuOWuRevcApPg
IZXJzg2vfWDQ6sww4O2b3MyXxE8vOA6u0Zz1SsL3c0l8MlW4H/4UreMhhyXUjPpUUT/Nm5PMHenm
elRIw1ySXFN3UyVXKP/lUBq3WUYtb2FtqFp+AiDc9XSN1i29thhAKUNlytHSLY+Gs9KJtdmbRWfB
4ukdraP2ueiMQygcBt/pMeqFXFWd8wryS50V4CmmPwJbGTIydXFEsyWsaJlPrnPs82GNpvzT7q2r
4YOlWYG4eDqF9xX0XuQFe/yNb3lS7aNO/igSWkcQvOIiIgRPFNmGBs2dzPXhBu4ZoamDqY+YtbtZ
57WcfP0SkHezzo1rTeOR3uh88pByga7t3TI6ZVE+rKCgkdfW/cYaITA1W14pQL+lyAN1Ql4+IDPa
9uhqlpEMDRDt8oMS3BUdqE8Z2K3N/7AScbJJkVjTJ1mgLKwfnam++Hn72o1ZCVfehWgB3adpGO+d
ATpKeWT8tUd6cxd9Vj+Ap10ms3ptU/kmWgEq5d/oIw27Y/KcjBQitiU/B9kUo1as6x6a04nE3Whp
d57Lx5MhqARwOgC8R8uO1MRFReobAto63jnusB+gyoUwt1NdfpkJ9Ypd/O4G+BbhM0BaQ3Gih7Va
5FWplkbl/kSd/6QkQkHgmTWs6qYy58wmi1RZhCz0iBr5zp28d9EROFU1Hs9fq29TG9mCiLVHwcY/
B8quecPOVDU9V16OhRcbjJV1+VLPmvc4cXgxUKCE7fCK/vlKVuCDNrg3et+eJ6H3i4b1YdsQqyiK
YD8F1k8kl9DVNRGUIGk3Ex8rRcYn5sINIqMIoQhY/jgriDUacZdhjX29Vv6a0vIjr96+RX+xhpS5
1iWCqzEM6EKJtZM1l1pGQfQDPca2mdI70mQJKdWC2ybttpXD81C7fJLJuradU+eZ+2KyDkODcqg+
2FS7J4Sf0UgGM0OMly1fOzN59LNmHbX1FvhogYp2WRUcQnrhb9rQ35a1vSqLt7DJz5nnPPe1sVep
t2pT6zg07W7oS6DSfGWgoYd5tPd6pJB/xTTtOveVP6xIa9yN0bkq2ucRtH4Y0h2Jl+T7Gi/IFS9i
6FH7e7Sjeduo9YmHbPzdpIWz6Lx+sP32vU7YIUKLHhi7fnZpJZMp6CoByLkndkPa3RjOjQK7RiEU
EVVX32qTeRoVJxel2guPwvOFJp2rVOHPcjwGvbMuHP0Sqq+sn85Y3NCboHXXzS9UplByXbzqUuPI
/Eb8WfQVifxHGFgX027Ppl3voiR4QEK31juKfmTtvbgxQY7dV4vatBo5OtkxG1mfZaV4CYsXXpGn
apQHJ33rXdLt+vwtwCPYJPFNp3cXB7WrSWDKVvjhCf/LM3GzqFgKICV17oi/HUvKp2X2lgVzi5xm
fXgOlaed2BVqPLFlZrQHmcvYM3aZ2eAb6N67qXshBnSdotrAogeSnn9k5ngMNQIA/UWuBMaKQi5s
4ncbkoOylK76GPInuhfZweRQCPFGcix3GJraDLdXt25Vth3M0xS7+0GkF92LfvZuj2YqiOAIuD8L
UHSFyCWtSEPWT6Rjwjx61U1gJbd1bhONad91GRgQCrUoa1/DU04FXfMYEw9gVtqmbGJ0Cs0O0TAF
RD0+5sgBdZrEOg/5seIr7qq8c7apGnaQkj8I5ziGESRkxQdYixsrEyyhKt17EExBkx4thY3SsZ9q
VX94VeevW8vKCL0NiTWjiZt2wGmpZpKAgoHbAZx+aYcN0W66zmBTQFMUvbkk0veQ0MYDCUYMiCWv
ZWi/Qqh8Cr97pulgSyBStnCs+qlOyl0xxE+xU69J6Vzaot8GimFmeughzTsOXoKxl6bM7qqSeBq/
2Y6GXDu9thTBqR8kEeGhugH5pIahWHrDVxrSQBvdthUpiLhj/Ta6xDCy0biyU2ep7tQUboqGvK/8
UkGHrzR89NCGIfdHhPa8u+u4ilYjm2o8bCdq8BzxHAz6XdTpnAfuNmIbjeYGIDRxkXWdsDSWdXej
9Oy2N66ZyQNEOOkUvWl6uFAVtbVFhzgg/hiGdmcP4iYqa4qQK3VQXkNAXGV/eflTyLs5FsEBAwtR
msXO91gkUB1E7U1kjMEidR9ssjtcq32PSCXUda9bSV8HbmB+6DTnOWkhFMfqqZoC0qC1fSeOBNIQ
QsqRZTGSKt8+VJl9b2QPvVwHxQgM3jVJRcazYxOYnWWPAUK4JWVF0cHD+dw53Mh406aDQ7bSqXRt
0kJl6OFxnIo9DHjNDFl77QuEY/FUtVOPl152JKe141feglx4MdL1OjH7H/1QUBGeePpWypjdYbJ9
hBwdAIsr1RpBrv5p52l465qZfdSrQAaI5Oxs54kyeSpwlK7pdfLugJf5JLU2fMuYhncpHmCAT7Tt
65asxQMJPKJbIs0J1xBvvLBptDdmcAp1ov6TL+l+YkSZPiDc9F0mx5ZgyNi4L+za3BhO0F7ckAgd
PY+zo6459T37HvMxg5la9HXe3FZZYj64fMdLzau4W+Jw2OtGUx6L3oLB1iC/nDrgjps0tfJHw6XQ
UhOQW4RugH+V1SkvaHPnroF4hlbfaySMnkTu+AdcVs3BQy1EJLTG6qVqj88dlOnUYh9f5mI8Fa4g
szwY9fgeW5jzpNc6iDm1occYmGkTUI1+sdRUvFIk4Z3BjqpHFh3eH7cJsg83trsXLTXlgHQzjC9W
38oH6cXhnWfq420zeOXZGADbeytWl7rwwuNoPfWoWaHw6q03terOh/R71Cxr7Bd5NIpXOqiHjapK
jjJQq9u6dzqSiif6yrgw30IZObus6Fwsa0p9xDV91l06tFdJUPgl7Yx4n0Uk9yNLn515UbgIqbLe
oJqFMmWuX9hmiR6hn1AU+MKgZjrOYKuCcpvNCzbatohk9gAhbpIOGEOgRJ5N6LWl4nh6i2UqzqXq
TMQkjnFEj4lWCWExhrnoWqg3FXbLOEJJ1bfpeIF05iYts7G/b3gyRyNaNWO2LQojX3XV9AmnC/A6
NB3pFn7/4Gv2o5tPF7tKXu1oZtqyfUiShTV1Kcc+4nJbHasoXsPN0tTlyCVihWBl0a8mUeTB4b4M
WrXvx5j2BMP6YadcZiJ+t0hSQDu0xDu8aUmaIdt34GKwpAK/dz377AaWvs39+lmJ4kHk1j7S3XNq
dSvLmJZhbPIdd9s+wXtVPxlG661LrXnBOhouxiBioszsh97qH33NuJQjGjMQx0UUJhTMaXsK7nAh
Bv2+NCqLolKR7rJ8dk9P4jK66EWElS6LOF97VQioPTQkBDCUN1G06IS16et2kzeaWJXrpntGREer
e3P0QprYsLwHaf5V5s3jvwc7zG/z1t/UmhjJJYwOkk2bpC38Vt4voAs8GROTtIednT6z5kfHSXXq
ogYYYKyM40G38+qsimC65XwK74bIlg8G8a2X2q/sYdHYef/iIkX9cL5flWR+a+g3985yfpPC+Z1K
5rcLFqE6Gt9v3PzuFVOQ3A9mDoBS8Gp28zvqzm8rMTXTIZ3fYP/7ZVaB2dADk2iHwOddH+e33p3f
f1LHg3WWTdUp8xpvS14sEih6m9x97CfjKjdqsu8BIjfwhAGSfE4ZGhGGfeBz8ugtRGVlDeaDI0fO
JaNhPg/CsL3X46K514smO5Izgsh6qtsLRe3mxptPOuFjCCP5Sefj4hyU84moUbT6U8ynZD220T4s
IdTLKlxDanGYdvO5qiEsWWffhy2VNsNuTNzwLS+ZM0p99O6sOPHWoSmSJxgcFgZwXwCUcLCP1TiE
t5ZXGJ++p6l1RjiRWcZc8t+XQNElxnaYb4ZmviP8+bYo5nuDHsHxS5/vknq+VcBziidjvmkIcuDS
4bdZ7APaCdZQKNmnO99OzXxPYTMM90oVN8V8h4XzbYZ4/jHyEeos3KmZfgASHpE8eLQaC6N5GupM
f3HHriX3hFrJ51E6gFpZJ8bXgVoN3hoTsroMAKASns11Z/cF8eYMcIK0ogXC6bPTpPmZ9I6IpAYR
nksAagRQ1aZkadvZWuihiK8d/93KJMUp2N8mlhtkphv8DA5alPb7K9InmS2dDLUe9zR1kTxMeRgu
m6JIr0Ue2+9uJcQxizkktvbgsq/COTMpYMzNhwVZp8mHqZe3vUkV/arUhaw2IXLrsmZbWHbQNQBe
GSFRMQq0hS5LtUZQdBeybe4GzXqtc6CcTu/ZJCbmyonHd8SZwGWj1p7mP8Rx9ZC2YbbWhrheofXI
UNnlBA+xsP9kiXnWXF2ezM7z1k1pPaJuZQLShLnWEcpwwiIQQe6V3rmDrd24kUrWXPQ05uhJ9ODo
bbiw2yY+hLb9EBnxA1LG8BhXXrLLHcbsLtMPgWnQrdOHCu5G9Qw9LSnuZK6/Rfh/dq4RfY2jliAV
nUKm4qSjv3S8qZk/FkPG/33gwUC+1b/IzigOOZbsTW4rCwd5IbbVmNYro/eyRTNZWzcsCMXMB22B
tUBuAFOBVfT6HQ7rlrlQLHRbwX0Yw2NZqCfSUfL7QStZx9w03Fpd17skRidEWjlluEoTknzoKYMq
0gxja8Z2uXFRiaKs65tNL3jXChdc00dPTrXo6CwC1bwNee/sRyOB8ZjyN2mkTBASa0Pq4AbPPBNX
ADQEj1XULKosU8vamMXxJfYCfChEydF9smxjiTQk8DJGi1Jnnb9KAlcp2mJiGkNW/tD1i6fCb/kN
j2ytJF/by8brH/hzch+YMuXaJbzusXHt/Ij+2t+L0tNnTiU6Fb7zwyCo6CER2sRTwIGiZeiJ+/Qr
Nu0HDIDEHxgRbhItQEZdYKwsbD671At/EC8lFyndIYukarIVUwH2lDH6GEfxMqSvyP9PhNXxRFB2
MObOdTIKQY9l/mU3091oFDajcEcoedoS+665jqDcIArOTS36lRlzOBo6i0efu1xW+FfRQAr9keTU
hu3V+FSFbq5lFT86pMzC/3trDcs1m3GJ6CIwwpvAMY+jM6BuNXm/VM0lQY1gtAKQPlPwJ+jPc4pq
F7UUGIRCC3fBEEwvsTsvmYE5biZFvvNCNeSCLeO2n978KMnw/pCd43SptoTQFRenjct3SlLNfaDZ
+jEcvHiftlZz8QunvfZkbl/RWKsPn/PnaIjK2al5ourn2Qp/WHc253lr+J685hlMaOR/ovHTKEad
pzNOXOvRnUe2eh7eOj7x74v3v2Ko/jn39Gd75f/5z0is7c/i/J79bP5fobFMB0rlX9NYq/cf9fvv
5ZvvAdWbu/f+Zxr9A6v1/bf8zmo55m9i5qgQCDnWHIsNR/VH37X4zTMsXN2QXRjKxZ+qN4X+m2kS
/OlKUxrSFpBhf+G19N90U9ion3Q4sW827C/m1T8IJDjBf5lo/IudnembwjE2QIotcVgRfvf3dFJM
tbUy/dRfD9giYgrvbSvcMHDQTGZt//Q5/RPu6teST352glRna/ocCgI398vXCjKNswIci9K0YtM7
/d2YVbsmcTY5dvrJq14zXS7b4dkzN5ozXYJs0peh+YK2aCEidVRpuYHz3v0v39UvnO/v35UpZt6X
b+/bqPtnztcvo8IjWMpfl+G4boGnU3ugs0Q4GwNF1ITo3dGypU2Zr0txCBrW1egDmfhsKrJdWqL8
nR7+l78RVL585n+beudnRLrCdAlM4pqntfUXsUzG5aJRmOSvm6kLt+hY9jjvrTsMcv5FhZgaSqml
lzLtu5qMiYkESpCTdpJAGklvzc7ZN63O5a3fGinEu+sfLSvaI4HcsDEh5cqHN0d9pmO+6lHB2EV+
skGfkgHPQg9SLgl1RWZLbrjZgART0gHDAPg5rSoWKpK9TnqlrZDLbkorX8UpKjI0/F0YHWztbhDF
3eRnK4F806oIJXTHGXVZDR21Uro4BDZakaq4aWyxQ0QKJfmCu26vhdVy6j+0/Ghzji6YfQ/luEiF
tUu8p77rn/suoQVuJByzVM7eap9oIKRJBv9IX2xN+tWyJkXBFdwC60ZOfE5duSScZ+nKkUoC/yBD
KtjoTvb8dGYv77M+P5ims1GNCZMagCll7aaK3XGjoSwGOV8JYBOKCeY8slMf2hvCDBQmA+529GXD
uiyoLa8KLD3Ptusd8MYunRz5eypx8mNbiPoN4kkCKYpd3QzLIG34ePgynrUqq+GuqCVeYkQgmrnr
WjtbTEO/cih7EoxgRvUROheRVzc53oEockHcQKZ171BavJm9u9ZjDIXRfUIJt1af8epsUHe+98TL
W9ZHpYq3pvnEuoZRusLz7F0asnC88RrVDPAUd2Wus0HDvQz8pjvrnizvwZjfAifTThh3rZVDwJvG
KH8nJsxZy4BHS7Q+aFtmFZ+BWfnRoiz50NBcxaBgefqzQSd8K6agePfMyGG4kPNLQ986ZpBw7wzW
vWN04tFORL/Hed29Dv2ckg2dzY7g4DDAqx08ZWWSU6Jn+gtMuhhAaXvCjeDjnbt3QeE3ht04q7ZG
QL3IByzgfBe2epf1mO5ymYFoq6oPTmFfRjcITi6ybuzbeuqdu1Zk1eb/X5L/YZ4Bj/8shP3Xl+SZ
q3FupP7lWvzjz/0h9pC/CXStxIHpjqDF1EZs84few+TuE/Ycq86zhy71T3oP+zesCdR0enPYLAMq
/s2/3IvyN4PLjLRxblvJX+n8N3oP4f2aC8QhbJou7y65wFxZv8a7T24Df4XEdj9GJg5x5z1wIo+X
sc7OoTX6N1EKXESl72NRJiga6E3aVtDa78qSzil2aahWwMmxJHEXrfUV+VRI25H7GBDqSAuwR/Bk
N4eTjjTgDInV3/YIvRaDMPHpl11634QkLcZeXUMWWxAkzVI09mlsOBFciViTYhei0/3bjqxMG+/q
WqfrHmeK/6hC391g50gXTiZv4DjsdycyUpAjFrhCMJq73nRKs4lbY2hB/0mYwWEJba25w2Zo+pJT
yN1MQDIg011mrqqM6UAZzooKHA1R93BbhdaO3+AP7snFUGY3eP/XYyPuCKU5FnUZLLG+LrtCfEkj
Ugct9GcyKXGnrQjr+4jP9lJEGVPApJVb9F6PCjTd1oabTvJhem1p3sQjP3JkJmcrp9VBw/4GYH4y
ZQdJphfZNlLtZynG6ew/NZw5i6aiXZDi64NlhCkC2Raz3bjCXrhO8TpXmVUtDTf/ai3C1zyblCUE
Gcq1afqJHyqw8LDMxKp2YHUprVno7N8rbYp32tjdakL2sCeNeuyiSe5NJ1uXcKarKCmwaUDXK6cK
AEOD8J50oLvQ7D98Oa97jZVulBpd0hgz6yJR2C+gnzB/+rj/RwivrdsS30I+i9wjDBkfzKy4M5PK
Qu9igvvFWTje66k/sbA0bbkleCm4KPuEEfaRcit6KGI7vw61pi1J0T8FunUJ4d1w1T4H6YiCskQd
2THJxUN9E9TNXqNyTp+C5yGgsgkr5SjHiF9Vc67r9ivJ7xFWl6ve8cyddMp0OVI8iqF7bal+qZMN
s6g8U1v6amIGEdV57PWbRKJWpaB34bou8VDjrDSBOX0SGOxo5yTXTNnz1473la4t6rTUH2k2i/6H
vfPYjtxYt/S73DlqBTwwuJNEWmYmmfSsmmDRFQLem8DT9wdKapnWOX0167X6DDQRRRVZCUT8Zu9v
B9zdNgiBldFuUeWwbvNGfVfjpS5s/dXCp3Wcdf8nGtCzmc4rS+TsKeqL2Xk0f8kaO99dM0v9+4DR
SxCfEG+s3vfufQdAaEgW4MpQzGVNWE032NTsCxYxoA0+Bv4CFth7ZdX9kTi+uAtaZTuXrDarKzNs
1TGxGo8bpZaQkoroqJFPfGBc1x8Ioc6eE5N4JDzIbXyShhQHmUTNXrEWeGhd5Og8qi1qCqG+I98l
x6Aey4t0zOHgukX2I1Whi0MLVFcm0jRAr+scpVP6xwpjHXfbOG47XV9WDfN0ZgqeP8xdPD0QT9Zf
JaLKH3MKoG094BNYNZXfvHbh4K5rXQ5Ec/n2mRyr6kR1MN6yJDevbX3urzryur7rSdZv3Ag/M4Fs
zO0yJz000rdv5qaUn6Y1cXO2pHJ/QE/K6YgRI58RMcfnpPLHkx1m3TELPZ0h/TCIi+dN4m40h/qa
VDf9lKelfCQO1Eeagv2ER8U9mdooTtQKXYt4FKwTgU7uTs+M7Jr+IGJ9CpsnyaQo/i/FvCm4Gv5Q
O3uWB7ybHTS3gIf0jz7jz/1MmiLeMdsZ61MUZdeV1ZTDIWmH9rpeXIF9SKJGpY/jShk4n/Uxndcj
FlbU1Nhn2Og+OkOrbTNTIWp1k2Xu0uolgUmx2DKRbBFPxBE26R6APNx3++IUIjl2Ir92QweWYe3P
l8rRixXpxdlZRXgreJIebexieNh8ew/0Pg9ANNkrqeyHpmF03/djfuP0EVjXUfXhQzWOhkZKvWLE
0LpzXaxlwf94ZYwkOQcOHlOgX7ABgxbF4bQTOeGWmwGP13cMz3W8pgIqN/asF4+kh3nfCQG4arOO
/E6DVChXIzqtKwKFlqwqFBCazi3WscjgReXFSTMjVAm5jpi3N++qqTvJqrkPSeUFWye61TDZQE3i
CYZLGBPKi4jEJOcrcMdEBbpEfjVbwzFsypMb8/rHsUJugEV9LGKo4n1DLW7n5aoenehdDvaItXq0
thoeRFI1HPu6RNfMGaNnW1emyV01O9G66qP8up9Hd8Hh8CjNLk/VLBxxAqLDMqpP2hNIff/c20I+
ShEZpyh26uuU1veu1B1xkSnw2gD8cnfks55OmBLj8yhwQeEs4nn3gOh+uBHCzhVtvfwEulgEUxNO
22Z5U9TyznjL22Ms71G/vFFZ6+HUDSfzOsWuelvVcX2yRMH9LNsBFxJXJWD7FmBljsqNoh+L7PIG
+8u7LJa3OnTT4gFk13SG8RQdULOM23o5B+Cw+Uc1M1+vrJLxal0sz0Ht3SMNyn4g+hoO83KuzMsJ
Yy1njb2cOt1y/szLSRQvZ5KvVeKQMjo9FZHDkTXB9HtGztgfkjT3D1U3RsesQ880dI73mmSGOlah
VrFRSd2LzIlzX2j3/ZECxHl3XLKrJ1hvaEdi58J/rd30deQEOnvmTRzDzkXxqBZRUNiQHNvOPhVK
ysSh3Xp+isfSsN1kxCABbH6NPMnJAz0yGwVHVubDdeEmXiDs2gbJ5vrtvDZ8FqiIHnygJsXcRtUz
5MaGvsxOqw4eqJl2+zJqhuhk0DYQrdvinlv1nTf0iC8KIlCbOkahKCIN2Z0npYrWvppqdjKzPXNf
YzIQECgIJeM1SMqdV3fmjakNxtmLJvt20tDVZr7Zbhowd3ft3NgpGKQwFztyk7NsozU6hoUwKX3E
VVX4trAw6Q19rDarxp2ltunzjApowDSaBS7H5suckTkW0JzrnC0qSXweMb3WyUPpjLsUFT0CiPrW
DRWkqSRBSdOqCu5HsW9JqcGF0T12w8lBXraJQnF2Pb86W4Rv0phpIW5FE8dvg7IPfS3ujhCbEdnW
0zovq3GFOnpcEYn9A6jeuFXJ+K4XZh14jQmCSBmXUNTjNUHVRoCL+i1235Dg+VfKIEnYcZXBmIBr
wCxra5W4YufKkq2PfpewuV9PmYfaD2q5zF0niHK8VX1tucfOmZw9Hh7yCmLzinTxO4z+3Hmxbp40
7v+NmKv3rC215TNCE6EqYoDleOE6f5z1Kv5pY6M/tD0LojEr5yOOP+YT4FmedE+odaLX6idzUJ5B
AvoqE/1lJxJwsbEb/WcY+j/l1i39GqC4f93nnV+LuOqbv2nz+LZf2zzrG0J1Nm+eRTSaBVTgf7d5
TD9p/3zS1Cy8A3/C1dnfiFzCGsCaizUoi9Df2zzzGwlvC8aH+ejCxP5Hsn4CxP5UMLiecGz+GEwH
PjIUHVbvnwsGu25xxIN72SdNnO8V8pIgiv0rRMq4crqICB3QCw8pKJ2dBZA2iOQ8PeZtB1NKj5+b
yK/PWu0hNQ/z6egi27trB4sk2JzBy6xTx48WHDUWE1ubqwAZWBM+WYaXnwHpH9oG85iFW/yYpe2d
hsGAidAk32zE6wg5EjydQ3ZJvIQYmCwBbclKWyH4qXtuTdpReI9sLh58RYsxhV3IFElVZ86sSa5Z
CImAgB9WmvBrd3GVunut8C17z0Z6uqevky9xVX1CpSrcddSZMLOmOPkRG2iZSEjZAy+4TgoHnonM
0uOIZW7dmhZJuRbrW5aEa6tftu82nrAWR+RdEmU1o0B7r3rmOWO+MLpi1DRzg35jqGO0LzJ+QSDu
sKisaCa0Yokrbsd6NdomUptm0Yn5SFpEH20bIHPcewbydnrU6k6MycdotxbmyxB+tFTIsHQx0gy2
4keuT5C/WKwMO4XQlFPNiu6HcQo6c9Tuh97NbofM0XbZaIfFurJCcQsEwEOdEo0yo5rRyYTUGSPR
ZI/cYRylKVisrwo1XorV0IDS3NVWDj2MudqanGoGmFkFce3QcLIfqynrkm04Gykh3oSphuzzw27Y
Sk/zj0OJZqIzmrA5tNgR5I6N2HCFLLpG3evPtbMebGjRK2YhQxgkLbyVlZVbqKZqc3oqMPcO+M5a
FyuEW2P5HEgnxpyrKf/SuTR7qxwDFpG+vmtzXKLaA2lIpO9L1zrNee46C4gI0qTFwB3SIZJypK87
dpZowjOapwpKCnr+4ca2zFa/VSmcp8BPWsKBheVm7ma0dApev6FwvktYd0M3UjBirnjCTPx/lNrz
mhLFILp3xDRfxfnRbfoowgJRNdWOu5F9YAJr5qr7kqSNerNoAUf/FkzwwUsFodYkX4DTwzUhunw9
4P6mFnOpyc1rT1gvWetepmQJ842FQeXb7GVHk2w34pyRc76YJu+Gpe2urHvMphulW+o6XtrYnCzi
sa9PSURWeVri8iT2iglHsSTjVNEcdE3JR2aM0OhzlR8ikZqXWJnaJ4/zuiRb0afnMToQt8Xk3QoB
aqocpxW7CrH1c6Na86v+NOfbvBuQ4vM9BH+95JqR3LZCHODgxeuxadIM9bHFCCdxaF61DyvOUsI/
tZCpR3vxHIUiSbHwHbEXD7YX7b/mBL0pH3JzkNB53ISL0IRIshhQHCdXrFWBdel52QYKHB04slJ7
tSxE8bW7AyUigWiV42ogVxr7pmDUXpprF1hOzVQJ10aoF+VZxInzw1fRPSHP8TpGE7Ibw6zilUm2
qZUhwTfdLsBP6b7P1kw5pKuN7k3tyTASMCjoWWSRhYfBdu85+s5RgjbErJUBQoT8KVzSKsmyraUM
Z1f7zS6vvH7H/uMjgwXB7kJ9Rml4Y8oRmtkMfN9qkY/Pg/45dl761s/Rzz/cTn+zgjK+Un1/360s
/SE7FfII2ZuRJIGf7M/HfVFNsO5i3d9rERFTMgeZ7c8ZLJpoquwbyR47DrS5h61gw084i3KKX2B4
M2PAVMKaBJiH5Jwkq8Nhc8JIPDGqfrHupo3iuYw9yhg9JSh+8Zo/lU2hv4OP5H3WmxFOOEMVt14x
ekM9jgaV5MKpaoarVJdseiTWAMyVus1hAZviSJU4EAPwdZog+eVkqb9OGfTt2XHKJ4kMtFOuQaHM
8kA2TUHfJuBIgQZM7rpEYwQFEcQ9NDWK0WZpuowQUYLRRVsUu/0pg9wxQizb9nG8QG2GE3jI8Wjj
CsMJIY9mmCSbxGBRkBq+XAOi8AOjACME++tuXtrEhOPs5BShvatro1j7yA5pCmIQKlO4o+M2roAO
dJ86ghcAMzSmtQmveZO2Nfk0bQr8GWhC6feI92J8Agy64rUjkoanm4Up/U2lJ+l9rFp9PCrsu0GW
jPTONlmQkw+HmE1Uvvb9CIXt0nuzcGCSQTsel01yVJFuXYAYQUnxwqj4zqEAwKd2561djsDBS7J5
+EDr5AYslvcRdXZPFk9y22SlceWIGHQsSkX9zCwwReS/lJbdL2VmR+TzKUeDdZS0CjeQsrSdO0gL
tdKg7XTUCxcgauGqdKPoPaxj3lZQRP0PZXN6oRA3bthpoDhhRgueVn+zslDfi6nNmc/aNY69vLlk
zBrgnBi7LCdKi07hituuwVatDXSjxKc5U0MMEFCcgHVtTEOC0Uadqs5+kdE8bfibe4a0R8BfGuP/
Bm22gRQ3rIxKf8j9riSCedo3gDm554gOnMyPSOjj1qm1d7K6C4mwW99VsrsySaPBBX3KDP3Y5uFz
GJlr6FIHvMFvsQ7hsfSvxTAw1ex7ezvN/UcuJ/0aAPlnaUU+SfSVtdZd0Wy9SfP2pBW+Ai5rr+Sy
iWqdVH4oDNNXg+O1tzl6u0Pb2jPWNrzheZ56u2Fo3ykWWT3a5sdgMeUF/OsEBEJ461yP46MFeGyG
K7XLldCvi9o/o0ZVgZn2yOQLTa1NVy+3hLCGQd23xWqwG+ySVQ8fAXOGz4edEm2/6TxGn4Dky6rt
znOlNyQyKLVzrYrp5GTco/2dzpmux1C1DWYlunIoPnTnGkG7fpvaRQsqPdpgzo8PYFCyIGLGkJEO
j53Z8W1jRC+TWZ8tULCN0evVT6QkZC2mTrm1+rlkgwl/y8yNRX5mR+vETJNdPU4LIGaRrE1f6jVn
Usaz+6VpGxZ5W2zHHepsSyCZjZPkJ9QW1HB5iFA26aNu4XhPbbXTGnwZGwx2+TFc7uhmua3Tr4u7
+rrEna8L3XRxLuy9r4t++Lr0568CYOEU4vf7KgysryLBWeoFhkPdf7qtf9Jt0Z38m27rMwIR/qpe
/6bf4ht/7beMby6nCCswndYJRA5f+WWt5vnf0BSQccPI2v31K0WJ7e+//wsGODIQwN0+QBUAJ/4f
5Cb2N0EYIull9Gk0SuRj/EVe8u/kJsbSP/5hQLv0W2KRWggaPov/mfWXC7gPZQel2nX2jd9Y0d6o
U2gSZFdNzUr3Y/kxpVl2xfRgqg7oI/p7S1detHFGPZm3gErNxzphJ1d0jkP55qTA2PJY42a1x26q
d7kmzcelUj6H4yiAb2lQMEy7cMzAJTANU6JlJf4e5aVHIp7y6uoktBJ6D7F8gW1HvCReCJCgtV2u
fHKGluJH1x7AftdHr3f7FwLMslWReP5GF1ka1IV3J7hHkCuKa6W4+KHk1mQmtkPzXkOWBOhitkA6
+GWjk0hav2MSrM8nW1Lmr0eLCTB8enJV5izfu32DrcmIjX1oe9M6smcTk5iigbQQ13KUTUCtM+Xc
jtL0H7zS93ajno64NzI/SFQ+rEz0/huTID0Wdz7to3RoIRGpPA2lN/Zo/KfKxetX3ulMCNEVVLHK
NyVCI0FJF8Y4VIpxuK05B0GfFZzfpzrucMqE3oDfbhozqk+/wIK8bukJoG9pZuFhbUEMt410BfQh
GyCq3s469N+bJkJeeKtbghEPqVlhs08TrQnZtXn6fOhFB2clHEYfUFQS6sOm72EebSl4s5chM2r7
1ssbfJT6zHIJ9BxhBSyrjFStzLkd+m3otMPO7YT8EGUVuUFe5f6uaHr9ySYktSGTIoqWoLufPrao
Xhvri1F4xqlsVMXgWmh7DcXLC4CuCTloeCFnhaKuHjvu+Sln8dSM61zV8S1zbub/IstXJYF1eCVt
OGmtVbQfZj64+xKhYLyLMQXp66wU9RqorffAxBO4q8LlodZ53Hn3ma6p00guEg1ijA+47bL7LmXT
gAoCmBaS4B0BL+WVcOmtyemMNiL2rhiaLxwmfX4IYQxuh7q0r0DImCuZaDsgihhKvT5Iy7a9V1YC
OEh32huNRm87pmOUw/FguQN1WGFUKqWboynl3+9KbcxObNEpIxI2zirP8lNTU+gskLP4gae1PyKm
hIsojJJ5qiL64aCidKxWZdivWfei1Kyi/hANY3rjU/d87/hs6eHKEN8cqEJcTWqcJiI4tREeTrOA
0XIMqXGc39aq3GELyza1j0MZlEz8YRvauGk8t7rP+6hlyNgn/L0nauckUf3d9Tu4wRTm56pTn2Xf
wxaolJGjTg27faolydYhgiN9AZDj3I8l+lr2Ean7o1Id2lCRO9ZhQeKxjZ36dWxU5sbRjH5jD3W/
FXVT72CajzhNbUA6OkCFbMK8YWFT3We+diVAvXDC5NOZKIX+JRQtPss2yi6Rb9ZXbZUU9MLSx2NW
owUfh7ALvg76/ygyH1T1+d//9fqBQXt54pv4vfs/b7clPuxfX4vr1/y1+FJkwnb8+2/+VYi5yC0N
IDFkSzFB/MPV6IpvXIl/0GgyBfztahTf+AovAspAIg49n5/lN8UJGk0AHMRtIGyEhA1M/B9cjT4z
zT/ejJbteSYsAjDZTD09hpF/bk2rRiNit9AtDM3xz951rt3G3lWO/5CEHFcYPDaZQjQyoNjHsXHL
cuw7655d7/+QI5o5XYuOoZyf0t7ZkTG91TVtk5wIVb7qRrAWLhyCcDjLUTzVeMjTpQec7V0yN3tR
BaVEOZZVeGACp/e2zsj31sUpS5o9pL9D6pi3TmNfY9fZjbV1a4U6CaUrw4ne8FFsVeWTUlzfe1p1
P2PWDrluLUmHAfw8697m7F5FgPxzkM+Ts3Wt8exWHqzE/KRX1nVhTU+VSYplV1x4vTYVRXeWMzBC
1ccO4mFWzCG80HpoHVwsY3KThxZ4KblI+u1mP4cIEJg93naRuzcxzOLvH350jf8AL/glsfgrQxex
M0PngFNiwxjzHeQX25b8ZHEC/eHJ+5sBw18xMb98iAvsDBQgU+W/jpMVCXOthL2xIZ1hHXGfLCmz
0Vjf2ErduA0xulKmQTq7G63HncYn8+9/gL/mzn0JeoXrMNZelFWMyP/8FLEppiww4nBDwQ7aKT55
fbOdBDu4QdlQ66RxY4Wps+vD+QKA4WkoYvOEBFk75A4qGnf1qUDAbmcEr8GQmvHW1cN8E5bzacqa
PUBqljgeU0/R4VuYEYhCRM3XO3CMELKwKrBNzTYjoferCY9BWYY2ZlfzWE9oX4Disx5qjXcFo3Q1
TvNtL+Ld3KIQ4N17NmvjGLrT2Uv6YwG++Kqsq+j4zw/S/5lu/V/+V8uh/f8af4kjA4Oe+LfLGkCC
r10Xt6jW5Z+Oyd+/+Zdz0gOqtMjLlwOJPaL4XZnniW/QmZatDTMPtiXLV347J61vuuBwXZTkYoFi
8rP8ek7qLisghBmeY8GYZuhm/pNzkon/Xw5KB4KrZdCReIbP6ftXfTTbjCHln4mTpJTGFjRTQ3hL
YpiB8gmvWZkVoNcNsYhUpkMUIm5z3cW1b01M8RccH4G46AtPBbUz7m1yKVZ9SEIKyKXsPo1H7cFe
RKvRVA4XJy/kscldwUbCdvMdEGp/45ocyG3Ryo/B9GaUQpxQkjBTUwKSBPZPZCmUt5Do42OkFxaz
OQaVATE76taZypxsmfk+6k0VzNqeGLneWxkDs9I+bpqj9CjbJ64HY8uAkJVpOEUklbiZglddGGPN
bEsxxOizWdyHdpy9mNMU3ZcGIERHsLupPRWdVUZwLF7qYX5jPGPjh7Vc8DN98zoaI/FpenqwEwPs
cWNiTi0TnfwbcoWKy9S2SMvnNNkUGn87hTEdIwg8Gz2XBmq8hmJcZBE7K6LSiF7S3xa2PTEZZY9T
t/Pi9ATSJ30bHbIFUB5n/kdUatGjQZW5eLSA58GN1wzmrcZQrDsK6Y1vptZKmEwgkyQyrhI+AOgn
0PTpDoYjUUtPKkbTtXaNiViOuS0mpoCFKIN5qgsAqnNqrk3a23PvjMlrXFj5pzBC4e8grFQa/O2B
NDjhK2gjPucTDgTkw3gziQJlXhlNgVNERJJoJnFEBi58DEqjj3u/qL7LNmy7ICctFMvSFJc1SwkD
sIJWyhcqZtA1JJvLvdny5+jKLAbS5EbPD9KooweElIgjuQwbH5YMgah79kn9R9UUo9yaRjkBGND8
ndu76HCMyFF4DHviNFzTI2gF4mT72FmmcQF3aJ1Cp28fZCHL14ho7gQDFXOuI1eeiT/Bm6r3Gsf7
99aXpb7GmY0wx0+a6ofeM0lezbpjp7skKZp7nSnAxbJ0QvzmavRPCZ3DJZc1WFWvkFCn/Mlrbuna
pqfWYs62QvOgfZK9adtrFGDNi+Wm+ZtDdtyODC6+Xhr++NAWhYmfsMsRfzQd1qc9ulCpUavI4ogb
auWMmTHuNFp0jKzj+OQ7Y3Vnd+V8MJEi8N6m9R6RiQajsnIQMAikvmtAAVMdhMJI3yJeruVbQ+4x
q8myei/iNmk2FlNDtg+IUjLybhGIWNkkniMWUy9Lk6Q2At/CIhziA/RgVOIVUJ7NvKEWEYNiNpMr
t2bbMreS8JDQ+QwzY/4+RtNGBzeBOMh8Lwcf+4NIk+bNdieyeSA5Td8nlrPrupdo6LV2fACQWJ2k
Z4b7lGX3VZFnYwEIruPLbkybQ7rH89y6lgRXDWba8MYFD9/BMxEzxj4kusSMkNqwJdIFwOPkhXsi
FzHzqpmpXVZRKcAnAUeK3asmrHY23PDJNxiIFx1qOOIefSfQdO5Wgpiaqg5o/eq1nAsrWVlzLPQg
H6e83BhhauVMBer4M+kr+Ti7Uh5FqqfRBgUMlCiNTdiLxouibykTSYhN67r/npuJbHhFOnaGaTzz
as+5XV8IesvVFgwRQ+R8rsC/45Vcda7NwUIr31/XdarAQBZleejytn1pBbBphGYfaT4kjF8bzukh
yxij+6kE3d9rjEBxAj2KzkgILzVm1m9yGp6tMGpOZijldx1dHgMYO583vaFB5Pcn1CUBZZZgP1LP
7jvBFdk+oswTdWwRslUM5RVXCQqeCED6h6VFqGEYiKKvK7pxPMc9g9LAtyNlM9Qg/iXQ2t6TATNh
4m74PR13z0ZbesCMIt1cp8JvP5XVYowYJ3cFj5xbxhryfZM39VXoxAVzJ8KMWKySn7nOxyztdgbp
dXJf5kwzrNjpAFTMBXpCGHdRDIzVsZEL9CbGEZa37Nh5NOuf06g8xGIYJPUWyDke54nDyc+K+0Lj
dSMwM4YtM9b199hthYXgx/Nuu6oxnpg6gJuHX2CchCyNR78Z6hfiqL0rL8kiZgduR5KQV0XmTUUy
7I2DvOqxVkjSODYcHh8XiotJXa/jbmzj4azcDuyWNVnRE6MwARQOu+VPUQvdO/ITSnPtDCAZsJ0q
73tHCBDejsxoz7y3dr4PLQNnSzPazgNnU3Macj+5HsPS2OKCctdTaGAsmrQG62ymxZoMsjnTt1pd
xqjAQ/dZJWJcZeWU36SJLwImQ6CqxjK+UH8XgZx1nVLWKdk8yfqpZ4P7WPlmtdZBb1XCNR86XPaX
NEPJ1KeJua/tXDyQM6B9GglJ5SsjMvo1gQ3mIREJrnJJpOZDLiL34pbxQ1kK7RKWKlynGFbrFXiN
9KIlKAoji7zVYMQxhYvKh8OwiUVRKLy6Opp+5SaLTSxDLcuTkJnVKwCyEAVuHyGKdFMEnHM5AhXz
3QMEW/IesnF+zyRuVG2uk4bYoVLelE7WnvIKOhOsifgHOKrvOVvr3dT70y6Mkdy5Th6/hr2yWFaP
6Z0HqWqn1UCOAIEU2xoaF2sKz9A2xcjSSPUS1pxBDlNzdu08/5HJAUG6pxsTrqIsRXoJH3vJaKo4
XFpUPQecXd1DPWM1KrRGovAQzaZrFeM2N8KDkLLOBshmmTuLAyjAMz082FwttzDmUAe0I3BI4Eee
sylZYL3OJG6cvZbV4oYTQR6GMpTXkRiMe2H11UUH7gQyOULZKaKB9CBbqjrIrIUl0JrGLvEm7xos
edQdC0xN5DYImZ2dhHRZwnZCQG1pete5SMebOjNdbmVKCdrbChKhXi8iMl01WoWopy+ySzxZRbqy
UWxzf+eo2Jq2i+H0EZjwbMyEsuKHri5pBSR6ZaFwIK6x1c1XZ6BoBjAVySfHamXDEtUrNaQwDQDO
KEEMgZqB/SfjNniTca/Ggx+6bbnvVOI8DxpvJDCL4c6N6nrXpbl+MxrSIMfKbtHw9BrHA/nM0c7J
s+47AQrlbYNZwMdU18dXJGTUR0emvKsz68mTq0zM8IwtyS1EjHtLAYuipvYH+SL1Dql4Ng7dxBZQ
mg8imepnKAPVxW8hCKPMn6+93gE+xbVlTWu7JtRu1TQxyWcqdz9Ky2LQ1klDXWtDWFz5VSF2zexj
B2jGTtu4reu8z7PX6WuvsdRrB3OANXheaBtLVcNbYgB23qKj7JlGSjRW6HhvhxSI2y+/JUrBIkCL
P5BY4D6YmFFX4zzaz7ycJskpcVFdvDFfqPX5o51md8CfgExnUXvyc4mRzgzZkeKdQdWc26CooaJ3
6wJju7sKQ8d/ZonHDRJWY0TXahGGu6JlN58SJ6xPPgnbd35ZOnewE6ozzUt2aiOVvWheaCeBQ1Do
Oww+uZtTjTzpyXHta/wiA0y7rJt+eLES6qqczEHhUdSH9EoWho6PLYrUHnqU/R5mEV7+QuDDKXBv
Z6uoIgRsZTSez5Iymvc6N9enprfOZxSFTb8ZkhRtaj8zt1g7OZ81EjAzNnZG6ceP5A4ZWxIzk5dZ
0+Y74ecQIIgT8Lnb5PCkA8q+Q6uZXZPkMV/m2Ow+za/LtwkTIppZMFJDROGdkqp9m0qvPbtkwTw0
hEnpdRQ5aCEG51US3ENUleVJ/EQhaemB4UC/G2bDvCFEbFyLMQKcIWOFDKnNFraPKKw0hXiZLLzm
uuXQqEvEWOws7RcR6TU2p7pjcS3iBhSkENW7pdUA8soG0gCR1rdxPtbPgFWAB9SofjNUcE/AKNHB
Tuw7Dv7Qt91WH2HBBzlJD2CVrFk7pEUt9oaLLzhtTCJHbLVAiWiSM2z9XX+KpZlXu9TxOnasOsxa
WgICLZrR2FeTqNMVgYnscGxJHaqGgd+pL6pqbVZAW4IktGfC313oEAjg2qs8T7AyDhiVsrUR6uWF
WLF53+MToLoBjbezRZvsPbtAkYOuyrgDxGDtR90p3rxyzn8sXXbHn2Dm2bq3TO1e9E1/gTDXPKcT
nplUN3NKVS78wDbDOahwCPCVQVBiaEZ5bIWqTqUfZXKF0LcMgzIrk9e8zBq5R5oU3QDQ5FdI04qU
vpSAltvez382HeNLXhcYdU2WXLSGQN4V5I8yaGbbPkZs6Qn0UZqACkGY0mQk88byZsPCgtk7KZCO
gYIE4BsA3RjL8tqZLUvhanKqfduB4x/sItZoTSWz8syIc3vfdC0fDWW8yH0y9+yR6SM30mvMls8J
ijhsw9WE7LRdFcRRWosTJESSYBMJPo9dsuzNHDQKDTQPerbU2UyaJY+tYRJLCCvqI/d0BwjDlHdL
GZlXG7eXjRcg048PfkpdNkVpeY4ayHQQN0IfeI4rHnN76SnYO2brBB8pMnVPb26sHi1y7nTh3hBD
sR8I5zoUvZI1+aT5hEjTMcSOlIbyoBHoy0TRizEpO3N2RkVZGwcT8Gz07PYTfJnBHVl9/fNR1f+X
FIZf51Fshv/10P+xg3D5msq/mkx//95fZ1n6N4GcFuGXweZ7GVn9tg533W+2ayIE+2tWtql/sxj4
Y/u0TDgFzrKi/m3i733jCyTl/LJAXyTL/2Di77h/nWTpJg4m3XaZTjAgY+L252GtDNFHsuU2dgjn
ciI0QQ8At7VL/D+ha7+2KjRudUUxXVepCMgSYfYhUuVQOFsciqPtjicI2XGQDlTIQHfrQFaP/Vyg
bCGg2nVTey0dBvguJfCbjPvuIJLYXAS4kRYH/lzwYg2eDatO5V4aeG4s7uixAeh09XxjME5HQUa2
T0IGZrliNSBXkOYmvKYjYuKq+YwYsgQd1SzW+jzG2Orr3rXo+vgUMdLdKCOhnHX7epsbpsRhlceb
tku8Y2LqfuDLuQlq+K074Gb+RwJYhhA1mncIFKG1K1Uv7l26nJu0cuodn4y7zs0pdVdWN85XcFuM
Nb1YuzVmt4CXjdopXhE+8Zp5Oj/oGGXJLvcQ7a6iQaVjIK2BDCe7927HLCFLsq5IWvOs6k3kWX1t
peJkzc6PzhfnuYyRRVnZnt3DaRiIC7PVrdTIwrat/oLP/0yl0awny+22ZsMI24lIcAZ52m1LzcmQ
/mh5xVZ+Gru1TEPnoWNiik0lG0Lxv9g7k+W2tXRLv0pGjQsOYKPbGNSg2IukJKpvJgi5Efq+2QCe
vj7QPpm285xT917fqPCgNMvwSYkEwY2/WetbKyztN6KID+QES7hvmbXy6SCYv8x8vDAb2Wu0Xg07
N+9E8UZNN8Idq/1XLx5sQshkeZoag0N8EppznyLo3Nfx2MCQ0fRL8BApiKDWBHEp2wR3yDzqc7LB
3fUNoJk06PqHnq0ByUiobYmpnEBimZpx1F2pXRQC9Vdjtj4DOFuw13dEs+hy5T4p9M6HnOhEsrxC
bCxgoEeCxbLoc+Soeq1zV+4YPuEDLeww3+qFnb/2tnCuXaBYixRqz8e6LF5aObovnje5W0rj5Daj
djvRSjiPRFSk5KOF+hGzm3vEaBXgbHTCFeknR1QLwbHXh3xTV6a283SVbP3AEjc8oGkBBpzESLkT
7mg7ATxq+N0Vw6zkMh0sJqVpAqIakLlxHPE7ktVoxO5j61JxLxsPk0lRReMdUYXDRaYa40QR11kk
m5b9m2lLtWdZYuH9aWL801P7qjJfHX169x00FfO+0aUWsvMoFPahuH5NKS3rZRJPTbXsB82urjw9
gUzhq0yrV/DUmwWKbY1YZkU+sK8k/OM2GbD0afwZIu/VqUfd+2gVRNyhq+ejqJLBDddNIHi2571Z
kF2HnsRseiyxsWDRAyXwmuMCp1MSiegqDmlcJFmhJ9VO7bHHaXHiSc9oTsCTuyOlw9hbSdvMPgKj
+KR7IrjW2xHqvDBiAemvAns8oNdbmIarHTI/IbRdGaow+KN5fC0mM7/0+yk5NbWCgesP+bpNDYDO
0hp2rquIfWs1Vd7IUvnXEv3cMcyYp/QlNPRFQ8TDBioHFaHnpNFRxD5czWJ0jkbYDAcdvdJWN0V7
zPVSXYZMWV/tks6Yem1Gz4rxocTrSBwnxf+9UWdkoIip2PoKgQxiivrORuO7iiymy1FqRFuc73y3
RpUlV36QqhsScocbNmEKGz3iqGXpuS6dvbM23HanVXq9c4s+xNbs6zvMDOT7ulp1MhwvO0WgHh8r
zVEw1fXiizJpxBcAMlDrTFK7Q5UnrvtG2I+GX2noYEuFN1RRfYOBi1HVwp2tctN8J/JFIvtU5aNd
6MZKI1PqMQoJYEqQLLYLIiantYm6cBNjs4L/koQbvQkVEumggQtY0yBr2DrvLDfzN2EoWzLEpRov
iiQ3j0EWTdsxc+yt9FrJLrmeVoERQ1uvO++ZDt7dVI3obpFjz7huxDh4Ad3nSBnZNgvqcIPlrLoS
DmAQ1Kkz8BtlDy6d7BVHv/fqySw7dU4fbdml0ItNLA4SnIHrrK9NBg2aKy6o1Kq1AbvMWtppEu4T
as49I5gKCoysL6zJyE4lkJJlnESfwPNKJvDNvgxRYbg81QgieC3NqRrwFLq3QYVtIRvGC7Kygvsq
TvsveaMDe6/NYdvWMxff7URlrJ1xolPUSYoPUVjhpdZG0wmQ95vlsXS1djlZ5A3WHfaQVKL4Ya4M
cD6eVaYAtCzzuYYOazOSvzSKfpcFKP/dKLhkLFXvOKrXxkgzn8UgizBxMgGp2ZUbQ5qX67puYZUa
um2m+8RsG3TlEqxCGHc5CNywI86ijdMLFC3zezGCfF0P2E4RbL+yTuNk7goXN54yB0b1OnCauplG
+gQxrUWl7E3uZf2tqYGHWGN283aDUWKkBVpBNT94CxXfuhMDijTrmhODmPJj2ZkJW1fSpFkGZfuh
5PJg9rUZapFIMg2ldYn6zESB7jMla/LxYCixbc1p2jn9MLHMFekz3elnqnZ+rf8WDm6zUxkSAplr
O8ifjEiCZWUXhH0aVkFohmbews3v9lZc6HdAymBG1xqo2dAlg2wBB5iQIzvUrRWbBWOTEa6KRV/X
3ge/dvaGYMnD96M64snpdib59DxmuuJz1hK4IkWJcUSUE3tNGyFEmJ/8hBAEsBXTOugz/44PIOOa
4qoiGw77vhSkgFtNFV4ZAYZT/kOTufuAnFmfihPwYP2IVD97Vr1O+ibMWX2paz3EdiWgYAinZWTn
QfJ6zzTTJDNW8xhfJBbWTrOGaBNIFa1hSTjWltCr8CK3CLTClkG2VThYgJ3RGOkMkXMHEraXF7fU
F1F+mQaaFq60LEXyxzGwDC/0BmXbSlRVrK69Yaj3iNZSsE1m9CXjxIF/azlqmQ4Vo2fTiR5M+tB1
TLm7lIlh3DduD15CwAjif7vmLvPDaGPGgkC6IkIFSLjfspIi2ulZJNady8qFadz1HNmeY7fkDzYX
dTEUq27ok4XUB5piSgsa+CRY1o0aPqtoGN5VKT7T/9Wvbtq/OWWvMzGzguLa0wJnB1WdlAo3ipZ5
Yaqja9ZAIkqSQCZL1IQjMyZ0G5DdKuXx1OiduTcreS8mhVdcEGUrOk2ufPDLq7AhrjEtmwBcn51v
wqaLDnGeq+vW8LWtT8Alarms3SrbcPDr4LV2GA5/ZpUDLqxGCJOHk8nH0GX3kV2QVGXK4KQjRScP
oG83GjEFsMxT5y5w511CzqNzGYspXtlWm0I86b1gP2puv2lchgw1SI+PBkvmNaIW/5RFzGd0VbjL
miMKv3FsX3VFlCy11CcGvSKWzk9NDL9K5uSrMJi311OKV9dOGPctRaTcdejr4SZuXT+gulLoLbzC
Oriy7tdGPVi7bHCMO7/1wnVd6vZlh39gZ49WQvyAMoiCDgqYG41JeGivLqLUL06uShl8dA6bzDkI
I3q2o7rdVSrBLUdUzmoQTAasKHcXUCmtRx50dNxOLekOIkesLbKu95GRyZ3rw7LvSBh7l3kiL53G
Th/6JM+2bBn1NQ4S8oISuJFeNVobZI36Rd6XpOAmvsejZsyR1M9LWKbfw7HR2xumIRvqVOAgLkFh
Mq2fNL9YoW4Kr/pRe8H0Hy7MoIBhkqMRcWQNKbWgaSkdt1mWQh/2Jbyude1DU1kMFhl+3bxtoYnX
CgJROyZqWZuqWz1ho6Bbkw2csfV5B6xjakYM++86yz8R9Yh/E9X83Kf9JKrRpJxipUfhjj0fO7I5
DEAjm4wlsYw2wo6LVQxT9KHyxHAvDcN7HmVfXotwCg5yFNWLTxYTu0oKfDIXRLANu7G8H0xv2ug2
6d2Jm7Anqj3tlPe1CPnSRnDFLT4BqF0WpQTxk9Gz5XiaRlGTw1YXbb5lKWCtmV8TKB5pnwKnCFam
Rnq1FpPIikPisasaAydCaa99mArPouvwZRtA66CvYn+Z15p5YttXVpogeLTN2l5lWFlBg7juK5V6
sLVnJjkD+7eit09dixqbCmUBrjPBdCPGlT2F403f5SSXJ9MRyxPBmQmoVPa3ZJHTlYaA09Khnji2
g9r+LNqKEZRGWhwP94yicN1rRvE0iSyFLB1JMnPr0OmPvuuOFyGbe5NVgHBuiqLprxtS5+ZoU8OH
spCILzhoos+lP/UYOjVMioypb4spQYcETW4xIULT18XYOwer7bSdLRJ/1cRTUUGlB+MDiVsfvvTN
8NyEU8US0442Vp2l+K2qdAOim40/S4OFSZw8YnKbpOMKMbK76GzWVF3RN2tk3NH1lOQ8oZn97n36
11NE4CFWKii2t3zRvYvBG9SFKCygDSwqwMKNzTumGkrBTKnhPsyUjdqBekEtZUWSw1ISUEwCBHV2
fy6503P5LeZKnKcwRXlcqoa0v0psdHr5dKErwg3MuZKHisDZJOf63jhX+joJipwP1P9Kk+3Rm3uC
ZO4O0rlP6NJeWIs60OR1EytjUxZeQxQ5DUZ97jWQRfMB1XMLYp67kW5uTJilqVN27laIixwYLYY8
rB0lluD1vTkopNLWQYjQzTu3PPLc/hhunZe7tnIHqAOOsR9qG1WzVYI6rhNuXETzMZg5w31jw4Al
D7v1QuR9e7LQjW1HCfaKQ4x+a6qmuxJwwyrVyltNRNGu1LhgJmjJW0TJFsnzVMrkT6D0KSiF9+4A
2rsPadKs2scP08UdGTiSMgwuROuRvKEbT0jN7WUHD+zkSeU+VnwGIyFhtIzJ3DzCwqSPRAGQXIZJ
y6SAJtPKicFW587TOXeh3tyQlmiHt9XcpHZzu4pKGgE9HWw5t7IQw/jY5/aWFzk3urS89dz8klHd
z0ojtndza2xrgXzJreplYEnz0Zkb6G5upae5qc7n9hqMMZ024bzjLpzbb29uxMdzT57O7Xk2N+po
+MWBnGT3aZjb+Pbc0UOb8GE40uZPc8Mfc0hnPkCVFrpTBo9vngwk85Cgm8cF9jw4EG3nrf7+RD0H
Kf7LhukikRC6ZxkOI9TZjnl25X8XtNh4iH5gVGvbsZXWPmd62wpfgs+HoS/mXHCUX/ZJt2bBAbYQ
QR5vZ2974RovDTiPfFljrfs89p3aZ6k1HjRp4KJlmvdMYVA8mrI8dlHerDud2HOKJ3VbZ21EfKtW
JnymsTkzq8ZkB526oRVoY9bQTqC5+0bieli3I6/K9ERPZeVP+VsNxaPimeMQbjPNB1lyPtPi8/k2
nc8663zuhfMR6M2H4d9fsDO36IcLdp4UUkyLeczl2j9hCrya1ZQFSWyLPuhuejafqzftubpVV80N
6LP8Wkuv/v4vWj+BESyeeYYOEtYAUMtR6f70FxUDFobjkb9FYuN/TEGstJhY4vEqGaJJLKmky0M9
VgjjjSAJPxr21K5x1ifvWD8G4jPGyN/ksUJ9J1wq6vXkmzzDBVHs+naCf/wE0My5hw/Bo87JCxgB
ieVKDODJWJNfU1RH6F2EG2HfvKCS4XxinLJwXChGw4QrkPKTYUMWb8hZrTYjGIGDLOzpFREYAXu4
mC/6ypZbUvi0hyxS9REpVHLDlis4iLQjtZ2ZfXkXes6EYj+KE5QUg1rFQ1Q/WoE5n1+ZSJ/OF/X/
mYz/N5ae/q1zbR8SR/VXs/p/Wtek+8EDwIHgAa0ozjXJ4P2bdc38wP2PN8s0vyWD/qE6BSIpMXJ7
noUUAUQUldkfs3ryP/muoM4nFRSBvvOfUue7xlzjff8NhDUCbllKnKagTJwZgPk9J1jPdBAC2jht
STJmbA0xvsg5mwzG2gSHdGTs2L7zxNdUT1dN7UR8G5pE9stgrANjheAC0bpfVv2d0jE8LVy7tTdt
qmWXcujm/WbY3hZoSViMFXjG0DehPhhJ6Q27Ij/wgjKSvNCLKA+ZI0kTUg1Hp9DrAxEOeXRtI2Ly
aFqJP6ffjV1Eq67biHUcFuktWDp7RLI1juwX3cnEPF3pubctXFqmRYHiEj0pkFfI+3Esd7qX26SP
9X5823d2tatoi5KVMeTPgJsHb9kRTvyZN8c3VuJmZeVtdvdu48B0EBos6YXKDH+r7NIlxU05SN0U
fMqNbTk9KlqzcotNNCmrWDWDH11FLRgP0CDM6VeBW076nkptTstQA2MA9nW+u4sBvek7a6IfXPu1
FXHGOsoZllGYa69ITz0wTOkYHQuftWjFdOEIvNPSF3VRuNFhEKjsVjIdAZ9lpov1PqlrshiK3pfk
YBbdSyoSRVxm1xZfBHDZ99ByQSpSOpdH0hfHy0FBMVu0tkcOakfGNUPkckh2hibUSZu0/gYPVfbJ
zEItZhoWBul6rJT23FTWCLQdj3yxtWBgnABJMnERFnkpi6lhnrdkqJneF2baU2+AvqgJmXHKgtW6
NN6dUvfmVYKRvgA9I3i800DsEeg0gXOBocQIoWQxAJQpAZPU+ZBGDIguG6NEiCrqZhboaeUp7Jlg
mW1BIkQs9asK85m2iKc4U6vUtuU6sbPyTW/aARd3bHZQC0ex5JhO9hrmuzXpEyUiuxJRWkRXs5jG
fNy2VlVsCtsYNyTwDRiS/fFSD3KclUzgH4eyiJ4sL2Z7ZE5wsqQu5TNlxnRnFMNwgkhGtmyLiCQx
PHUdG5z6aWJD4Sir5LIzcHh3/C7WYQMpEgZ6JuCXkoFYrs/ySbFWUy3An0TTpcZAbFbY+nvycIqd
yEJvk5sEqsOCyx5rA/1fIc0Hx2QJhM4dNBkph1V/oJLgzmdjNSJLQzXl9RBoiMopl6rTJSCMqDlg
V9RX5IsxcQ5yyHtdN+zNNp/Vc1O/rHSHja9DIgwpJBbXPxF+cDKALt6YokdolTP94l43t2Rau+Uq
pHh7l8pqbzq/FETj2cYdyezTIyJbSFmuHBkyxZWLhXMo88eUjuIJc375mBRt986WO350DfuCeJBu
ZyX87linq1w25NecMMJVL5XImps8s4w35fl2sayE692JiElUHkJNWcYZLQ7hLyOBE0NsEuBtjoyG
2T6+qSluxwVhQtaDEBUzg578jVr1Ge6e2L2GE+a8xpT06zCzffgk2C5vTemiUS0j44IaOP3sNj7z
qqLSBclAmj1ex26OroxcmvJdRJXxON8I9+bkTu+hq1S5kkpPHyZmCzdjNsxCO60HB9pm9ZJNhuJ9
snRfpSDzX0yTdmLbWUNur7w09a/gdnf7kTPi1mdt8yULE/CKDC7Hp4Sk+HbRcDTvTFDTcMVM33wn
BwRdDZBYsKBNIpx7nLEonTu6wOWU2gG1YZC/ObAQvgiaWRyOskxPeuT0gvVATnSkIYcjfXuL5m+K
ps1QtgSHgspbWBDtUPPSlrERQ7dAQbShD0DsQfxfvWeaW5WrOqXlIfOnm3Yp6uOKWWzYzdVqqmZ6
HJJ0xybxU7aiuQ1EWm2jYgiLRR91zR3ZLNHaccyKxS0YQtNJ/dsgtawXZmbJPtcn/1VTzZ1ewjWM
gw5bIqE98Q3UviQjeS+JFqjfBTpEE68mVatgUE2S2YWBXP3oJLK9TCuwTAvGjeF1Yg/eFUZwOrB4
0jouRGpNN8ppArUTcJDukNCk92EfEG8aY9fs+8A9sGrVbxinqX1EIQklgr1UlHQZaixiotZJMnjX
WT6Ou76AHkkTpeHW6EhzWqS6ijSkhK0DsiSqInuJbaACbTeKBydsipugiinW2t7ZI+3L3oam8t4Q
FRLoieqP3BfTrD8bbQvFvYjEfW9Ecj1ZubuGTiFBztblp8AP1BuoegYQhJ4Aj000tlmLqVf1zhlJ
z2M3MxNZjPydlJY6YVLtSjjILdoqurhxJezGvmDFVRxjlZibopqv6GgSZ+Yqu9i0ECIuQqr+G821
NJwBuszKDRE4PG9l6bH9Q+0O0tKwM0JSVa/Y56YMCMJM+AT0jJCDesDl10bS0UYX0koAOGUu+7XI
ihlKRONNDYOXJ3vd1Dd54WZEDdOno1aMwQklDEmPCL4qHl69k1w1zRCAzsyKfWg3KRx9psGfXYSN
zQK3q9KXvmlGB9iiytsI0esPjptGjzyzYcvUUQmtwvWKnh5Tsw9pKsGCwAR48EK8YHTwiE0lGCni
nEWnHdLIn/SLqG/ye2K1TNhFpPwcpkrTrUOYj+ZTUepkXyKKvIgaxykXdpMX+36u09vCFbeDLsXe
8sKExHCdKCcZQH8sJnWa8oYL4nHoLjS3bZ9sryreQ9lPT7qqnW2KteKimSRanknmt55fWUe3Jp+K
bXXjPLWiDrtFqwD1IsC3CLbBB8E0mAynq9SvkqfCMxxYoVyzrc/EBalk46VHb+zkizdhQhki51nH
C7kdnWRYCc3idg4smNF1ad1rUDkuQnSZ4LAQR7CQRQL5wP6LVNoS+uCWDUX6kge6ehQcneUiFnVJ
TJpBhFY7kXNN3NqwE0Ma7p2o6C7INZLzMMfZ+r62ieA9VQvMzBFjDNW/jgLmDckMlrNEy5q8yHFG
/CAjk7va1+WViZpXsCbX+y++3RBgRfh2TWG01suIpByzmfF9cgcRLFl09P8Ho5X3sMvrrfL6O8Pt
y6caa/i2t2o8724vObHi3ta3g9aAjirSIL2LuE2eqkGH5srOd4c5p8/WhmlEZAN4/bBHsk8ca9GV
bbBGeWk9e007fixd9g5gASL2Uir1ONXjjKwBfBalH8LQo9DRg5RpLx/zRChWZzcc22X6ElWO4iJ6
yCxHweNz689K6ynsklN8ll97sxK7GDXt5CDOhv7pnoJZrx2dpdtwwMyLzlKwfc/S7nJWeZez3ht3
urmLZw14DDl0E+ghMreoN++VdeHP/vGJdIgSBstlk+kMRXRlrVVWsybxdHruPMwuMkNHbo0m8dTI
tlxpjnHlZpFxBYXCX1S1rm78WbKezOJ1xAjo2FuDZ+xCnfXtbqXcVT+L3rtZ/m6wfjkGVcYORGtm
kXyGaeiynigWFzXtzKN9FtRPZ3G9GHMNbjMFIvL22pErc1biV5x1PMFG+7Z02VytZtQSUZdVnvYL
X5OeBvwFXT8bYO9KYSc5Be4s+8foQEphPw7TnuVD9dw4hvMgAT4cSVDFNmDlvfPYOIV9w2HH1iar
9PCFL7C+MUeVU0KfzQezDcGdDQllYmMT4XWKFbMWuRe88XfP6cEFhipwmW5Tb17kKsPokJ5ND6hm
GqKmZi+E2cy2iCwtzZxTczS0VdeweV8EaPwR27G+wQYWBNiJu4b4b7QDtkC9aGlvxEM3d3ngT+ay
pWZflcgBryc37V4K1xnLVdWP+WUnXRbm0oHyHWuUOKPV69eycdKXhilGi3kMmMh1k4e6iUq1Su2V
HVo4KUhF83Gz9ANgEZ2kXXM3lOw5+UZ4uBl64T35xJQQ+u36qHUSdLfM3Bi3E6aXWtrMlB11/BeT
8dQ0TLu3raPLgzcy8WXlFEQPhSazEdhRTaYFG1PrvQG4UGxLJszjxtdbSFPocYJ2xc6wCa9b06Ll
SFMyMhlaGhMPPYL6eFaNt3xniPwkbg3WYThRa3D6H9qw39Vdlh8GHOdPHEv2rVPwOIhi3zvk/dje
DfDJmeGn05OaAlfDZBMNUJXBeCzrUE9RW1TO5Px/QeN/iO0DbsDTHSwUwpopATYMgu9mcau39u0f
X3/PnJP1v/7HnydM/eN/55//8Zeogz/9E18VkHP8FENDpCKWTeggL+OPqcqZemAAL4DyynTlPG/5
Y64C9QD1I8cDBkZhsev+11xFR1Fpke1g8HbmXyn/MxpIw5w1jt/PVb5iD3QeGSjwbbZOP85VKj9W
Mem2FmKoh24sLr17YxNsGGIDZ4NnLGc/P/qXW/Mh56HbAUd+aKqI+Jonf2hXka8tZW+hisxePR//
ZQiJGM2atmGzuu1LSfoe6a3y4zigNi4D9PXRU6deKWfX2sg2X5/uTNybSoxwCOuNqe1L+V5jMd0h
2+vFVfAZwiF+s+PINCJXl0XdLX3nPSO8O6kxPFFBGg5mWgQfHvSxPstXIwbWNBy3mQOw1Rk65BHx
xta2uhPXm9hoAx6X6dVAyKY3MfpUHxm4PDStfpPNAYdR4Eq+0aQKNsxPrPxTm147sgfth3GCZRw9
dYAbikIBSp5yxQnL2l2Q4qQ0640+it1csYDUTLEwHM0BgktTltdNR3FbBTXkUm3txPoJwRbswThm
m1l8semtl3llvehoMfmY1j3xpejNF7GvNlaTbEZrXNYtie5OTexhc2lG7al1TBIAzE+J65yGgtfK
M4bMUEPAeBk54qaNyCAjAlxiimNR/jrQZ7DOBPg4o1OQlR0ulYZJgIyuKiKS4uHyu6/Nn+xtjX+b
ms/fO51QM9eA+eGyZ/jx3kIV2+DaZacwTNlD3bKJt6zmNPT2jvzStS1g9aSus2+TfJuW12w7trZh
HbCxdiuoaNAem56hne9dzDHAiaZToalNHWNo6nzzZPYFPBn7zrRs1nJxs6oorqv8oHfWti7zA9MR
g/IOXyfKxunGTsMdWngYmt5Vy0eIe/Ldqu1bO3nRuMzUQEvCZTZBnEBSCpeIWliZz2Sk5ig9dwVD
eBXU2o4J2am2601vWqdR946OhUgJj4Y3IOAK2/sYzB23JECbvWW8OhBhYZDvOc6v9II5n1YEFX74
IYSwCONzJBSsBxKRX7oVahXQt3YmP2btuEtTnfTDmV6vQXlIuuk4DWSCSv9tLO1NkbNM4RcCnCSn
EhYeIh7rSYgAZPC9qOvLGgME1Mb7fHidYns4lGJE8IXq/6XyTdbgIUab2FyHpQHhh1tEOdaGJnRX
0dPpA6+xz8brgEAE2I0FjX9rdocKY1PpTK9/f5uIeZPxwwnEXYJJ1mQKRRibd97+f7eMmgpdYtvO
/bVTJF8CrXvyuXx+bbxWdUgqWc02tb6t/ORq6vrroKkvYjVcRfjEjKSpNiw1UQt68SpuSljA3nUo
Ms6u9raRHtkNLYVr2L+Xdv5/ubuZff/0umHYoByHM2vzgDHQHP54dzclxuDeIPOrcmuXTgPOOr7D
idnP0DF7qYki87GtbrFYQLp1dhpyKlrR7o1sO2ZM2ypMx4WrEVlbV+jOS0JKDgZZwAWSIbeDjCoc
gnSi/o6DdWumwymKu7tSMx4m5MWATj7jz77LrIbhgmxXRQgMEB0Af9hpi/UgJUdjL971jn4saFuN
fQ6iy3jCIpyW6jbs+xPDrEPp+KRUOzmxXT4UJ8d7hdBpLNgP3jtGet0zgmD9Wb7jrQnXtlneq1Z7
90IzXcrIeWf3etc48TNAzm3dN6zvjfcypQ+DlOblvIKguqjp0yZc+XhRHxlNbxFLegu3/qgAqI7o
/4pMrYlromkj5CZcRon9lJc40dB7WIx3Mru9RF1zalqeHqVOAyHBxxoYB8Oue4rr9oGpF+e49Twl
1UMQDdcdmqxV3yE51NodqaXLKtB3dpXf2aHa6TQ8gK8/+Xp5l4LX7ATmWUQfdWzD4pKnINcvgPaf
lIU0LJV3mSEY7mbOil3m2kM1H+EfDUJ9w0d/1A1gK72a4QRP6MR2vYsg18XeyDi2OLb+tCbeZoNn
eJm6DHma53i6m+k84HlXYXfwyuQizv2nmku4HV3Yt2DYNhXKH5lM65CxPZI3goEIKwZ5ewIuu8Ih
+FJlhFDhIMx3gvyF5WQijYsdt32KM/emINhhoUG/yZmsMm/s0c3GoPAsVKviPZIZ7Zb3ZDWQMbXi
MyiZDWwOZOOFf8z5GoJbLk5tlezwX27iorzLlHObBPHBEqNaoepYVEjP0V0Z/P/blVd0G9QLKz9o
cp5Mz7FQO3MYdllHbmGSR0y+2uyB4OrnoLGPQ20+pq0sFrbzbE/V/ZB17Zq7+qLy3fdJmAe/C521
QmGEZD04jJj+aJzHcQXILl3b1nRkN77AanyNUKbeurX+ZkHjXcPUuC3M8S2poJyh4X3WU/IYDFbR
S8KuT7XVPvST3PekBkOMiNZacpGgE8YwktMjDksRxvf4AJ870R30YfiYDWx/tBxJdWruNMUURddP
GWEoyJIfM0yssgaubnm3TqddBskLqgiGR93Sw0vb9NGNiTt+5G63mL5OEUwArtgweJT9JlqHaFu0
qHyM6tbXPvaJfPcm/XUI4CSJYWN03qeYlMEoc9ld2fat733JmJC53trSrmp5VRpXtnmdd7dQ2041
+N3OpNUxb/sRAEgsH7KhYa7PSABZItzFRY8cW8RfkojcGsW2oXl2vXtl42QbyFtJ34E+rgzx0gV3
boDiTNbEJ98wFMdnRkxiJ7hdtMtYx54WlYtwOupsnNwRky7PqAisG4Jm28rWyRl54fB8uDbUJyIN
sSebzy1sFWfke52IZ+mdskFhV7vRZ28lZ+VT5YtkSX7uKog+KowkWfc+xAUcQe/jYJrpxuubj1rp
7KI62NELf+4VDVLnhfR8hUeoWBIsbE+tGNMsWq8g3D3EnIIyrFnJIHuMRkKFBjFan7VaGAuJ0rEA
uLNR5FmABrkPg8pdTbFx7yXaSzGOT0Uy3U9DfJr81kUuT0qWSXT3RdAm6TpPZb52nbxb9Sr/VHTT
Vk7urmVPjf+baQrCWeqq4U6z4AfXOpnU9LEZ0q2WgUJn1EzUfdJzWhZPjvsx6/s93ocvpKPfAzop
l1UsdnFMTErBsJeUzCxZ++6swwAUEvftfWpOlHbZmkL9SN7Ge6KTbWlsg9bZW2zyjKK+hA3I6Yu0
uLIhYbZblJliZTF43mANRn6D0mmFSj+C+lJry8byWrY+2rj4n+HkixSusbcube+UCHK9qcCY6GTP
OOzABhbMRoPGvzVDY8+1idbsGmaQMRCpwoVP7uYdPlToxlDznbv/rpX9LyzjvwkG5tZvfc5cvOm+
1OPtF0if7T9xqvO/nooob++L/9p/9Ic17c9/0bee8yuAjxsmb+dXEBAW+wMcaq6pf7DhnV/S+fX+
3W9I39qo7T7TzgrxgaGMdBDffP2hCCdAKfj2z653huix7zf1889XhtV3V+ivrsHfv72vF/Pv/5sf
3sBfMwjtmaH7H7kGP/2Kf10DwwbKa9sGNt9vF+Hna8AgneGAZ33956/X/De6BmidGBv80jUQ9gfE
PBKU3LcPmiHId/eB5J+BAjNX+PqHfqM374LAF+Yvv39Bpo2Ai8b67/zz4/t3jQ/k1ekOdtCv9wD6
Eq73b3QZDJ0JFlOhX7wPTEZLs3qPseufXgfnA5BolJ6Mgs4/dGu/2XVwUNv+4kUwSEVCXSesv7gZ
nA8GXxa+Kt8Ozd/uQGCOJ7/eoV+Dzf/5jPn3J8NfnorCI7FXGkQO/XASuM4H09KhGVry6w3y230T
TMafPMV+7Tick4xnOa3x9U3qPx4HkBaRrM0Pzt/2Dvh6HDB0+LXrID84jDYYwfz5ceB+4ERE+Gkb
v+uxOEeX/epFMD/YM+oKudWfnokSlSPJNShyv16E3+44sAz4Cr94EQzvg8XIlRWe96cXgTNRlx4r
5K/XYM4o+L0eDAInxX/D01FaUKapEn48FO0P1IeWa87E0/nn6/nzG5UH847pV9+9cD6cxbUOWI7z
z08Xgew/Pn1C3r99D367W4DYeufri/qvPxYNkCWGw2Nh1j9/VyG7EiyvqxPG8fu1SI6BNppq5VeP
APcDB+CcM/LTW/c+MJjns7e/ffl/u7v//7B2bbtpA0H0V6w+9DmQ0ApVjdQ0UpMmUNQi9XniXcUL
BqI1VuV+fc/ejBcbJ/WQt3jNmdnbeG67c2kUd2bvx1jekwkS2VG3xf4dqQRIj8fFdXhh4pr/QzN+
g5yo/Q643zAX1uOgZNHlmDj1QjC22+3e0L4Xn9+ZIF30onFAONrSukLM/9eRzmiNoEZjMIosHf9z
38E26YhW6FV4eKekJp1mlW2oPJsuDI94e6YpWWgSssgin4h1CBwYatUvqBWiXvyioE0TdjwykScu
7I3CWYsAYwbcme5c2DvSFW2pCexNADay2lCKukadI40b7KFgckl8J1yinbynzcun5IFw3FxFIwQz
awrJxaXyQHoLl906HiRnLLKxsU7zI+CrKQQAF/iR1kVG4o+ULwHM7tKP0GrDA+cijLZkQ9L1rfEZ
iazq3kNOa+ay/0MosB8YNZyPEQs9w2QuSlGmmdS6isA/XJqKD1yuF+V2RU8Bx3LtVEcu8E9aUbHH
QasI2ylmXOxfar1WkcBCwNyoIlzgJW1UnsxJlAHLii2nSXHB7T1xXaLF2/Bc/N+y2Cc3cvtMecS9
Uwe46DOCMIfA2utojXtri4v+rVwBfd/ku3Z1srF3EccGF2d9A6nhEgVf5brcz1yluyfSyX2R4xrA
IoCb1QPf2WhkzBFuP74gq/305+kCPlGbVcQlM1N/dzpWBwCNizWmsKq54Euk7qOyQwAy4+PBz7B7
u7MVW7SQYRieDZ/8OWGbYaoDku8JvNLmNCZ3mPqL2de66TBtb/ZK7UYm/K3MMxWG4DAsV2fYcSdz
Tn084Azfw6/maLBq1aWp4w3cmX1L5RvmBNjvTP99pEwKr56hZuIvJbbW87GOfzDsuZPwSALj01yj
uAYC2cWI+qFaqUkzxrm90DxcRnTLoyHZ073j2WVv1tG6thUaotFdP4tNbPNGmkvS1/8AAAD//w==
</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00000000-84A7-43A3-BB24-9E8A5DAF3D9B}">
          <cx:tx>
            <cx:txData>
              <cx:f>_xlchart.v1.12</cx:f>
              <cx:v>Sum of Sale Price</cx:v>
            </cx:txData>
          </cx:tx>
          <cx:dataLabels>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plotSurface>
          <cx:spPr>
            <a:noFill/>
            <a:ln>
              <a:noFill/>
            </a:ln>
          </cx:spPr>
        </cx:plotSurface>
        <cx:series layoutId="regionMap" uniqueId="{00000000-D5BF-4890-958A-BCF655AFBD79}">
          <cx:tx>
            <cx:txData>
              <cx:f>_xlchart.v5.9</cx:f>
              <cx:v>Sum of Sale Price</cx:v>
            </cx:txData>
          </cx:tx>
          <cx:dataId val="0"/>
          <cx:layoutPr>
            <cx:geography cultureLanguage="en-US" cultureRegion="IN" attribution="Powered by Bing">
              <cx:geoCache provider="{E9337A44-BEBE-4D9F-B70C-5C5E7DAFC167}">
                <cx:binary>1Hxnc9xIsu1fUejzA6e82djdiAt0N+iNKP8FQYkUTMFXFdyvv8mRWRJLme2dG/E0MTETbDQKicw6
aU5m9d8/Tn/7WN7d9M+mqqzt3z5O/3ieOdf+7Y8/7MfsrrqxB1X+sW9s88kdfGyqP5pPn/KPd3/c
9jdjXqd/EITZHx+zm97dTc//+XdYLb1rTpuPNy5v6it/188v7qwvnf3BtScvPbu5rfJ6k1vX5x8d
/sfzzV2Z5c+f3dUud/PLub37x/NHX3n+7I/1Qv/20GclyOX8LdxL1IFglGokBPrzH/z8WdnU6ZfL
Uh5gzJlUHOs//xFfH31+U8HtP5XmT1lubm/7O2vhXf78/7fbHgkOn54+f/ax8bW711YKivvH86P6
Nr95/iy3TfT5QtTcS310/udr/vFYz//8++oDePHVJw9MsdbSzy79myX+p77N+ptnl/3N7Z3Nvurl
vzcJ5geSc46VRp91rh+bRB9owRnmmn2+TL8++rNJfl2sp22zvn9lpP+5/K2MFPvipr9xX1X031uH
kAOhicCSkScBgw+4lkgAap4EzC/I87RZvt24skd8/FvZI8zBSf6F1uAHQmrwTpw+ZQ0Fl5EWgmny
9ZmfQfJTMZ42wpfbViYIX/xWJoiyG/Cq6U3/F/osig4k0ZQz9XQYEQdSIY4ll59RwR6b49dEetom
D+9dGSY6/K0Mc3jTzzc1hLu/LLjrA6wV1ow/jiDigDJEGGLqM2hWQf0X5HjaFN9uXNnh8PcCyMlN
X9+4G/MXWgKzA4kRI+w7UUMcYPBj4MXokzH9lyR62iYPbl1Z5eR/fit0nN3cZvP/QbpF6AGnClwT
/4IG/Bgs6oAopQWlXzLgVbr162I9bZ/1/Ssjnf1e6dbZDYT3G5u5/q8Ejz5gnCBFuX4qyEsAD1Ka
ki/5sAZv99mDfo71vyjT98zz4IXWtvm9wsulr4ubD191899nwhDzFSNKQyb8GDH8AKoTJqn+4szU
12d+tsfP5XjaFF/vW1nhMvyt3NiLm+LGOkjBvirlvzcEEQdcMS4E/lKSrOxBwU4aKnz9xYOt8PFL
Ej1tkge3rqzy4vcqS17eVHn57Pzm1v91ZsH4AGGBEVIAgIecijpgSCKCuPz6sM/A+DUhnrbEw3tX
pngJZMlvRKu8vCtv6vQvzYOxPIDYLrjGK0voA4Q0gIN/CR0rT/VLonzHHv96i7U54t/KHK+cA1b0
Lye5wGdpQjnwJJ9DOnqcdSl0AP6McqKeToh/WaqnrbO6fWWhV79XzvXmzrpn4R1gpvzqT/6CmAJB
g3NGFXmaWJEHWmLADeWf7bcq6H9Rpqet8+jmlW3e/P8d7Z/2sw/r+Uff+E/JenJwDwmBv4BC/5s7
o1CnKMS+2GwVX76Q6d+X5mlzfLntkeD/x8z891n7b72MDVTo2z+bIA+I+x9f/fP1oC+zuvVHdMtn
XR3d/uM51QTSqm+9lfs1HlUZjxjFf91wB8neP54rdUAR5RxJgghmigFcRoAtXKEHlMLHQoA3pMBj
AhdTN73LoDUjD6DqkZC2YSCcibiva2zj/7zEDuAOAUUPQpwCs6C/NZ0um3JOm/qbJr78/az21WWT
187CMwXUsO3n791Lek9lK0UxxgwgDzUWhzdtP968gM4WfB3/v24Qpa11ReM2wexlkbJl4+esPp6k
tJuhmHw8dNW7zFRTOEG1/C6XVXVKGPdd6OA/LK41FmdZw8ybIsvy83pYxBnWtUyOpsVlOrSkz3yY
90K8Icu4mHCsS3GamKwpQuO6+sjoWcSpGpY3morm09JI9yZbZFqHjBJ3IWQwXSKVlqG2KIhY15jd
iBQ5nvqBvPB27E6YrZvjGVvZhrp2R+kwy2mDSUDfBGIh7KR1tjgpSk1tmCtWvzR5sqAjk7PgBBXw
oIizYqijTAwiyniVvJqaoosrHvAToZvhfZe3rgyLQJk86uScv04mhV4lfB71ztMU1qbNhCJaFoEN
03IhtzpNyjIUWdUc93ZKd3wQ5nwhRc/Cwvr8FFWFZFHfaBtWjaw0PJv2V0HbGB1WPp+vdM6K3VDJ
+qxWzAwhMj4zIRl45S9SN/tPuMyDFwktkyks82S8aTGvcJgFyWBCG8zdeTYZPocdUlW7SyQLRJRm
g7myyzwfiZE3Oz/TPAvrzuShGQ3dtV42p5RbflRgnC6biiG6q2ShD4nnvQkn+ilzpezgtXgRhHXJ
+sMiMJ0PG428iiaHwLqZ18SEi6ry9zYrzNHMarmdHWp3VmJ5zRskdwOl/e3syjwHbSQ+9kFBP7YG
j++wG8Rx0BbpCc9scyXUTF6NrO7PDDcFj7IZyWDHW1QE28kPdRUaVqQ2koXgxz4V82FpJn3Rd3W7
7bip04g3rDqeh1qesroYj7lz6GrhrTyhRTBusfD8fZUN5cuq5u4aaNNsPGxIga7yJfBtqAhHJCz4
pM+hxsouWoGyPJRGuTPeK3rKO0mOEA7IHCZJ44+8XUgV1iOoVPXCVIc40MVVnvqRhkYP02ky2usK
Lcl73dfmODCMvZN9JU5kMJeHKekJqKnB+rz3oKiQy1rZsB063kS1Va2FRYogC0Vj5bLDyTjUobIL
PbKDTeeQCku2+Tz0L4JGLDs1F1s05sGGt937tq2STSKaatO5IXjdsX6Ket0co8kHO+mTZsNnduEM
CyfJ9a7SLguTnr1JsnxbeWJ3TSN7ES4yO2VIjbdl1X3EQd+dV6K/7vr2k85tEiXUbEvtXdi2NnIL
Gy+qLt1I3rIIF2IIKRG7Jhe+ukh4BbteSDmJ3UiIqTddZVWYs2kOXWOXeEKzdCErPD/uRReNiI7g
EKqMbvTiqlMlmdgCDIdXtWb1WYCyMuwxbeKSOe+vnEiSNExp2atwQUE2hmkwqfe+UKYOnXLBANs1
zT6aGnziBrwJmbYNWpw+VsuUZTH1oJxQ8jKYdrUaQUi4iaOwoalLAAmjD05H7vosGpU0tzmt/c7j
ItgpUXDYFm6KccVZjAaGtizt8BHu5RINI0JxlbIqD9MlSV5JUG3k3aDCseVmp1Jd9RuTjSQPUZl2
27pwfjcXxXLmeI6uVdEv7xXuBA1J3g8nFSHNEZWJuUyISnaoaPJPbT4mLgwMJ2W4ODTvxtlM25wG
4xQuRALg6eDftaxEh50RYxoOi8kP5yTvdr4xaRFWVpKzXiARUqPzQ92l/VtGeg7bYe43XTKmu6pt
3LZk9XCNSty/DUpvjmXVzd2GFFLG1ncO8JDay6JAfohoy/yHdKrLLSX6cEn5CTZmPnXIlG97ktqT
NJ0O/WKCa98O5qiolXkx5116ISxaLkhgqljVNb3s6tM2d0fVMMyXyOX5hkg6vNKaDjvbjjWJikl2
R4tpg3Nka9SeUNhNF2Pbl6dFBh4+Ml7jYzaW7xKt3TsZGPO6y31zBmo2V5VZ2HvHa2E2XY+mNurK
IblIMz+fZsPMipCki90U3tHtqJyOLFfkLKuWetmMic+3TPuTcl5YlC0D78JgWE76YFB5qEsw3TKa
clcu1XKdLI70UVKl5o3SE93O7eQuqozRY1lWiwh9ubSRFUVx25nMH+HBg5GqgOfXJUthl90/W+Y5
vXR1TnZpZeZDglvxEY/ZHIskBdenKjJHtC5rH5Z4chME0jo4lTZtupClZTyMEO7bvtvhAovdvJjx
RaYtT0MXpE2slDJHepnTOGFZG+VJUr4Jar+8ckyR04Ui8O9YduS4ZUnnozqj+ChF9NbOyGwQHs0H
nqnObJemaF9NeCjTkEHqUW9018vTqVXFGVF2VqEF38qz6obaOodtbIrzgvXpBW0tTcNkSVIaVqM2
70fwp0VkMkSD7ZzWzZVkCrujscuXlw2B5C2cmsofI9uL17Yzw6upwLe9b5olzhMbhDIt6YXUNr2T
3qW7WmSuDmcy0XC2jLGQjXraipKS10Uvx5cSXM1NMskcnC4ZChkqg2oWyoK3r+RclHclLU3kaVNu
qiwvwrZy+F1WECIO+6KjF65rx+0ETnRKA7VVDS+Ol5YPb3WSftCpPQRoqZNO6WJbkWEJhyA9rDt8
jRaw81w04/HcJee8FF2Iiq6IlB+Xo7poZ3JtegDJodc5P5nqQlwPtUnCwHoSF7V2RyorIOngi7Ef
2qI6b2YKhppJf0TagMddAcE07Pqg2JR5UW5qTsarNIE97WcEobWietdCTHnVzE25w0vfRKrG/WUp
2fTKtEuwEUbz0JS1iFpbsq1sePBSTXI7sTkPe0TU1Wh5dd6PKeR7NC/e4HkmR0Nf+W0/1O1t3Rcm
Ho2ttymkW4eTrPVbQav5IsGiuR0smXajXcYiHIWYr3uWd4e+cJCYEHvIUpSdZo2fd2bIuve6tsvJ
hBvxSS4BjtqEX7Skz0+qAMJ9TTr8Ya7noQnzQpEkmgZLs3AegvykrJKUQSZppk9JgsbTZS7SfDNV
gTifRQ+OZJyaD9XQk+0YWHWSJoGLx2rML8UMeRROE72TDpvdUsj2zCc6iOu8riKcMBF2drqtxGIv
87Y794q6Q4xau5lxAOmAy00oZ2FOO1ebcPbjKSSd+abQNbsoB1IeJi249QYFbNdSEyOZn84u+6DZ
fNtifSHT1O6qxjUjIDiXL5q2bWnUtQjvsi44AZ9Y+ZCURfay6sCvhs081XmERl9AGqG75UQKN+7o
7IIXCs0UvRvbRcnjIbFTLEWrwfZNyT5BktX4mNMKv4Yg1cXT6PCd5GPaHS9VB7lfr4y+HbzCeLf0
EI0sG8ZrXXK5YYtfzpANzgwu+AtIJufjQhdZSJE1p7bPNWRzvqhCVRX5HDUptkk49py+LA1ODyvr
LKSUOtmMrjihvBXn4BHclndpdSpSMvRhldL8bQt3nJIqmG0EeeZy3js1m7BFnXxXQmZ93fSkPwW8
cg+5l5t3fTcPVybo8jGcpVBnLMAOha2oF7JNIMPdKG9wv5lwXV4vWJBu245t+q42WXVKrVlQhCvC
z2kDGYoxHUlDSFYrEmapaC4NcVxEtrKJCC0f8yUyXZ8u23RBTRCapM3eIJPhk75tXRFmiAXHqYQU
g3l71JiyOh8QF+XG2eqMDEJeqRTqe0jAaC6joqqrWzXn+EPaenUmtJHvfIb9EXQsAx8KkZsmqtLM
ZFFSJ36KWAmE2qb2U70JmhZ322QZ1Us795kLe9PP20lJGUrXqB3reKyNLjeiaXuzCTKNo7lI+hi8
1s2QOxdq4ptNplgWl6qtoil3cUbSS9LxTx0e0sOkboKjqUhsZKrgCLXZIeP5+dKMOhxEW23KInXX
aOyDbY36PE54mWwMSmhUMhMH9yWGlNUhKGKJxmZXN5AbgiTHgtef0AwqydPgkIgJhWCIPIQS2YR5
qYONbrI3uh/LaMzSly5b5hCX6asA0o4QysFx1xfuAsr5OmpGdUaJ7TYVCg5p7qYdFCMfgoSeGl5s
6pyraNE5xAaUvncNOUkRlGbc9mTjvBSbZezm0DSZO5KmWrbViIeQi2TZJHlFN7QeXGSYBzmH2kZC
j000lv2uKskGldNNNXQb67NDp7ts07D6YvHSXI60arYiQ8sZYI/FLU30BkIPDsdx7mkIdRM9Lmqb
vkhaZWKWtDxKu8FvO+S9CVku+jBoa7pbKmsgKQ3mIZ4wT67mhOMkUqWZaRRor7pQlq4/FbMv8siX
oF/VlzI2UyDDhbLhkAUyee0x8W9tUbdFlGUlFCyFE/nJZGfZbhYyDFclKqpsK9JWvy5ZNd04miYn
ViwjP+yTNoSEhr9Nx9anWxdwXUR4gQLnGFGcvxBtOlVb4KuWw3ZCUwiBA71Ja1teO5S2Yxj0TKA4
MKU9llI6yEGV7cHlDe0bxtw1nWErIqdeOmf4CTgYE1Z5qw6nsrtZ2pyGnRjF1k1FpLnV2xaj4Y7M
PiOQnSJ1nnqqDqHGqh1Ari3fzUqJaCJzV4RNnwzvAVl5lPM278KqyuJKTCKeZgjVPIcSjmQ6PS4W
Mh06BSxBqDKstznp2xOcgs8HL4TG1yk35bum1HmcC+frbSWtfKUgcWFhKqpyCpOCmqOHg6yPuJuP
TTv3eZp9mRn+9uc/XzYV/PvnZOu/PrwfOf7XX2dfZ5V/+K34rrlvPNn1l+7Zt29r/WuG9p7y+jZQ
u+LQPk83f4dg++HFR+zbI47xK5l9T1FhDJTV98m3R8zmt+9/5t60hHY0lsC+USaE1ALGaT9zb0LB
eBQMNsNkmobqDnblN+6NygMkJXSMIA/TFAYPgLD7wr3BKJsAD6yVJJJhoWG08Ot7P7IfEI1f/n7I
vcE6EEPvGbp7MQMgAyWD0ZN7bu8h42aTKWlMrsVhhjeaX9gB+qnf3v8/WPf+eQ+YPE3yQdgS8jHH
szILFyB63mTgRD8PVH+ep/4Plr8nEh8sX0C5NI8TkDlZ3/X9i1EsKH2ZTkvz6cfiA+v5pFpWRKSu
FgOxOBFbTbhdrlpcaRRmtOA4RAxByGW0c8nuxw/7ng3A/A9fxoLtizGtxXayVNFQIZr2kDMJ9f7H
6wPt/uTLoMfrS92htgBec+txy84wHll1PaICidNZuXqKA7mAO6/mrn3x4wd+54UU7PSHL9Qq1A7y
/oFDqeV03GQ+8RGDIJRvf/yA+4We2LX3je2HD1D5MiLnKd9CAi/HYzHThEStsSQ75QaqnzPsjTdR
Z7t6lsBeMNztUJ0N/eGPn4/vVfeUAPeqfrD/Wglhj9uZb32aDl2kiIolxZ9aQzsIEF06DlXoZxmc
NmOKzdaTplF1GKSKVHD4YA+Aqfud+0CCMp2roeQjqAB4wYj2zSfIjPOfvN/3DLjyCg0gdVSz49t5
tvItgiIsTAZfXOwn+so3lKrIhaU93xqa53cIDruc1kFufLTf8ivf0AQjcIwZ59vSyeE1HjugEZNF
7ud51Moz9OVYtC2knlvXBMuyRVMw9BvRAiO5p/grb0CmFKu5LMAbNMwX0SzExMKuAyhtfqyf7/g2
sQJPpYeRFz6VcVXaLnkBLZTOv6bdotGxg+xbXkHUoOJzwvCfOmq18j2kmIO6sS1Upg2UPJc2h5m9
15Vzwacfv8x3dqpcuRqrkEfjxFW8NLgCQoYFfTjlxvY/scb9jn8C6HKlLN0YVnoyJ3ETqKXajT1u
h205zjjfdHnG9J6PWfkTyppEjW0gY+c8cYe1aGq0XWpcTltgGcdpP1zLldPomqFL6FSpuIVy9SXU
YdlFDY2/lz+2xfd0tfIao5kUHiHHiUkw5dvS9pKepmxuujeGKzP9RFXfs/j95w8cX6bS1ijZqrgv
2XwUVAu60Cnuy/DHL/G95enj5Zskn4FTXETsgVWcgPWa2DuxNO12v+VX7sMPsoETCkLEQwkWcGVa
bZkPIJXfb/mV8/DA/c/lXKiY2cGADWY1BUBtzvmy5wNWeDY64J0G2jTWuIJ2KTT66nHbF3IZL/d6
g/ss+aF5JZmpxQFUQdpm+WuprL2c8hQK4P2WXwFNQnELTRYuoeJlLj90C510CA3lEe0HMbGC2JTP
nQBOHUpcm7bsyAKtqsLCs/5nsfne8zzhkcQKZXNapKgawcRdMrf9pkiplJdVsECvEtpBldlOKZnr
t2Wl6Htfp2P9E0/+vZxHrIBXTmkim2UEV1iqsj3OAptAB2cxGtI65caCubB2xTJEeQasy85MSyo3
go20uR6QE35PBa8AOicikMoESVzJwG9oPspYyZL+ZH/ge6Q8pV7yeP/xwU15RzodUwSs83bByQDE
X7Is5WGrqZwvUls1n9qAjdUhW1TNzydKSX1GpFLFW2UI5z8R5TueSKywrGrg+JsxB3JGJpZGYtF3
7TSN3X5+VKyQXPZU4HkqZNwH7RinDrMSepQqvd0LaHyFY497oQqY4IjTdlLvOES3c5iYqPZzo/we
HA+CQEfTuggCqWNeQiUTeayqJfR5P9uf7LLvoOx+RPbhA2zezZxMvYrdPCbkSLG+Rx+mFgPiMpKh
Jqxz31YhWYBe+thWiyX7meV+Dufhg6GxXMIm6kUsVAIsetsRWwFDz4I9PThf+Y+FLTAlIXq59R3H
WzEP6WYRTbDZz+wrJyES6K0V3bRA3zV18VLLIhR9W/zEB30HEnyFfRhyzoIJUtW4IHkVEYeLTTI3
ZM9NtYI+VD2Nwjk06oCqrUOU4Td1yn6WSH5P9BWasWhrNpXpEqdydmd+rhGE5y7DxZ77ZgXnDHrB
Le3nJQ6SSh+RYTKbhCoW72VWtkIzbQfeOgOru4SwaKTShrbC+X6ysxWaVU0WNUgwa+BIFhnqB2Bp
JdvPj7IVlAsU9GhMYIqjw3m5sxoGcQbOlt2PNXMPmyfiBVvhtU54tiw4GOMx4HdQdpphx5xp69iN
Uuz5BivI0kEOdWGSESZBRP9Cu6bYYtaY/crx+5nAhx7H1ZAKjYsY4wbOdhwpzf2mmOs93Q1bQRa7
qkzUUvg4hTbtSV5W8qydyj1FXyEWAnViDKYu7poiwVHPCYxfwaxZtvmxcb8DWrYCLYexERMsQPO0
dT4dG5e6Uw8TCHuCagVZ4EeDAUNTedf7dLTXFAYJywsY5RLZfvuGrlBrcD506QDTRFMKvS3T8nez
nuufbPzv6IauQAtTd4YplQzbrsxwSKHxH3Za+z1FX4GWtgUjSaEG0HzwrieQ39V6SvYzK11hFuYH
+iCw4ovojHQw+jGIfUVfo5WrxEOjZtjqEUhjcr+63V8x9+Z4kPkYNLRJaWH1qdBZ5JW5b7+SYk+1
r9CaMa4aRBCszshdl7Nyl+bpnswWXaHVwE/eqDyFxfXiq7iUuofKS0z75Qb3TZSHipkczJ6Vsxm2
3CVjCKM+JMRt4vYLUXSF1SprSd1Q5LcwUlyHY5bf+WLB+2mdrHBql961TTb6bWUyFgrG3wUwgLLn
4iucooT3dM4Ct5UdjD3ZKb+xfrF7Lr6CaWf1VEAm7LcFTKSGosjL0PdE7rn6CqcSxmLTPNAguvb4
zEJ75DKB+an9WlRkhdPJM1IzWDleMPzgUrjUSvBN4AJl99szZAVV0k268m06xDOrauiX05bH7Ujc
x72CE1lhFecJ6Zupgsia2PJYFxZvrCnm7X6rk8dw8tBWp+nMfew0fY8LcmUZvdpv6TVS7VxU8wyz
THkWnIN7fDcTuSd9R1Y41XleSVxLFxdjpjY+4y8bkzT7GRSvcFobG/RaeR8HucujspCnknRov81+
f0Twof+CtvDY2knBkEo53eYzfkN4dbKXwvEKpSof0wDi9RzDstbB5K3NBIwb0nQ/14tXOB1SDucB
WO9i+FEJ9JY58AOhzRe8X6aBV0D1XUlQCRPtcdX0y6aZ5Icsb5M91b4CaaLyTg55D3Nmcz9HVdWC
6OZnndf7RZ4oDu6HBx7aVNeC5W1QuRhO2ugzZVN8VgZJ+2Y/s64gShxxPfxcG2zHLIHRtmp8K1W+
p0lXGF1Yo4skMz7u+UBDrKZ3Zacu95N7hVE2smnMKawdFPYl8/MZZ/Zsr6XhPNIjhTcjTHrDbJDb
oiQIoqBITvMF7ckPoBVCMW5bGPAkwRZ+6+mimuU71c/lfq4FrSAaZJCn9w3opMzqqyZtdgnMO+2n
kxU6WTvOdAJOfdssw2E/khPG94ugaAXMduYOhvagthNVeqqaKa77ZL82K1rBMi/dlHkPQrfVq2Xw
USFf76eNFSRLXfTtYsCILDMf+klfqUXs56fQCo++G8w0j8LFsy3wy2V2MArtqd3sJ/gKkbROYMw6
1y62AYwSkNoc6kS/3W/tFSJNmVsOp/sCmDqD7DZA4obBkb+9PCyccH+MSdjYXVciCMlZLiYYa2Qw
OanlsBdw2P1R1IcuVtlBOsaHYNuJ677ZKGCx99EJ0ytEZmnWsS6bXewVDHOM1LYhHHZ5ud/iK0yO
0H+f5zqxW5y1h2MJvf2OFm6vnQK/KvBYJb33yAQlLK5Kfkl9+zFnc7+nVla4hJ/4mhEcF7DbvqKX
HNaGk2/7rr2CJh5zSemEgTYmFJ16lRbHHZvEnlpZoTOD4fAS8lnYKBwOtiyoeFWKbK8Ei+kVNift
2Wg0IH+CofYiQgwOt20IZED5Xq4FDqg8Nmk7ViyBXo2LU9beBOPwBpoPr/baiuthLTj+iHpBQS/e
p3zTeZi+hdP4cq88Agihx4L32SCBj55A8Gm69A06noZuT4SqFUKLSiImM2pjZehZCQOHWxgqJ/tp
fD1f5dMeZi794GKY2r1iQRkVfbZXksLUGp88qOeUVjYmhJNorHAfYVZ82s+cK4DO0FGwqnIWBgzE
u9ROx7nk1/stvcLn1LvEKBL08YzLMSwb2e3qqthvMgJObz3eKQ0faz3A+E4MLaRlUy/NuaR2v7Y/
nMh6vLiHUztw9mHs4wbGX8rQ+j44CQY0v9hPMyt4jgEFrwgHKWIyzLcWMrjJqg97Lb0ecHIQeLIW
ztjGRqQvprY9QlW13z5czzYNiTKigIPT8TJ02Xb4X86uZFlOXNt+EREgCQFTyEwyT2cft2VPCNtV
lkASjWiE+Pq3skbX3KrrF0zLUUqOmq29t1bjBDkFuv1x7Lt3h7PeWDXaVY1lBtqeYv7FpL9LO+/n
5L+rKrZHMbkA/eClT2wpzRLPuU148zzwfs1dQ2ZfHPv+3SEFX3ttVRfbUtf0q5bsc9CrD8eG3h3R
FYhHzRPQCghZxusy2iiPFnbsqQ7yZ79udUFkXFtK8OEs+myWAETloP907Mt3Z1SuQ69sKMcyJjVz
543OnuVtqqU6dkknu3PKpBDpnGpsyTV4rQ35UA/HanGW7M6orkGEJhOGrnz2OoX1m4ryQ89QbI9Z
0qmvzLB4W9LKkDJIyfQaCVcfQvqyPV6TJCBmLTV2YhWCYuTtUFJ2EDDG+O6YmhWcwnWUtmyXPszD
JbkMThzrDoP18OtWnCybZ5ZhyhEeHxdPHnW8HjtDexRU5oSeG7DBywQk4zzZ/GNmISBxaJvvkU4Z
dkm4EmXLqFve0mh4suF08Lt3p9PWeJ3gLhjKkaef68i+ajUcKuIY3x3OamVGib6xJcfM5KDKu3zw
Jj0WD/dopIk2Q9B02YB3GzkUlqjXOciOpaB7KFIYos5q43AoRU0NGLdoVJznMODHJmYPRWrA/NyW
xuPcZN6Awsz5O7Dgt2MruociLQ2oeMDaDeWWWVJEI3vBTXrs9ZztYUhz0IKyvXbYLl3GQoVY69Uo
8zRb1KEeDl74fz2jgOeGGeQQMPdCuqRo0Twrq4oNx94RIOzz6/hezXNqTdWXaTCqAaITvfk5Z4k7
WDTG7NfxQYgNwVsM+tJKP56M4BDyGWV8ORQJ9oAjKIJAXGcJ+3LWnBQhB66covo9Fmf2ckeTBgJv
pG1fjiwRUx5tRH1T4EqLg+PvbtMVOkfWrZibTjagn0/m46qjY3devL9OSedMkMyY9zbtr34Mx4vT
nbwemvc93mihC/W9dn3ZVPH2OewqcYU5SK+OTcwecEQRJ2PisaxZWw0jJGdSCsJt1UHm4Nj3765V
PMapru0XzDwd3c3a9KMc9LHePNtDjkACJsAY275MwE+txfjq1PT+2HfvTquovKMaYi8l5BC+tp2D
iBMDC/zY4LujOqBlngaz6Utqm/RrgkeF66zMcnDL7G7WKQxWv9EYojucZDkH9CUPfJCcj307+TXM
WB/gjV5j9Hjxcx5H/YNqf4di+jsF/YeCZg8zGuoV8LqUdCWEuUQFYaG2QbBJ6lUVwmRCXU3v3fvZ
jPpGRxrwcpJyiD+A4pYMb9H/G+37LDH8qvAu2V0b1UL/IdE1mvFiHdLQ5RtrBvvRDSSYi9APrfrW
SRkMBUdiSU5RjF77OenndT5pSKT4guOVer3NQ5A2JUlWyW5V1zhfRCG6CX8EQPb6S0SbMTnRZMWY
TtfTdhFDJkew7cg2X6AGtG6ncTG0/bomjFVvJ8aD5vsYxcNQphvJltKu+HtP/bTF5yZcQIJvExKp
gvtEzFcRdSJ74mkLXlg4bOQ9FKBdvhBub3092q0MuyyFoJDRCzstlon4vCSOoYWt5cIKoXvTIZ/N
Ml+ktqYJpM1qGz26tmqym6bRxMoNs+2KmKrltm0BtELaJWQnFi4QQoEAQbW911HTJceyELYLmGZl
M1cQail5LMHQNwE0fGh27GjtkV6UVR6JpO5Lyc1fFVPvq6Q+9t17nNeCl5hVE3x3PFflmOkHMPyP
NQfpLkrGC5ApETpIJcky0NSDTEGfKOoOzskus7GhoFzh0a4UpGnyVQ0/eWOPJX10Fycb0Fsh4xZ2
5ezn/gUErfra0ckcC2V0Fyglr8O5JXwshVXsiSF/BfJ/nr4cCmV0FyitEcuy9EtXqlTMn2w6bGjm
t+l0cNp3kXJo6wk0kawrMzSV85g0T3ITx8hfbA/yCnGE4f3Sd6Xv+sqcutA15TqE9cEqZw/zito6
2gKKHcmFidczGSE1lSdBrIbTocnfQ70mM7gqkBOErZj+6Xr2EAfjMUYHJPF/vaP62dll8ElXyjAD
jmwak1UXNGvIz2PfvjuuEBLbINdG+lIP2ZbmSTdQvLFDru4YFoOR3Yl1faujcBVIEGBzl8+Ja851
XR9MEPZ4rz5xVQO9tw7diMkWQJRBOipwYXlscnZn1oWgSsd124HoqvUDp0s85Xyw/Bi+n+3RXhBH
EQAydQjD7Zw8yJaGX1HT+mOt4LvE7H++oiarGaDkgnwVraz1VjHoYCbhlBzc9Ls6hFANmbD77dTU
RhSjGyBcNBlzLODsIV+RjVboDKVdGfiW/iWBNv9rM7M5hvxke9BXTGjbQK6nL2OeLAEEYtuoCCvn
4t+8Hf4Lr47tgV+gm1YV12lbbjqi9kOv6qUrqqQl/cmNXfABhLOXIMh0c0IWp7JCZChGLzKI4+7Y
6u/xYeDp8nBukH86P8i0CEwDAQoj214fK6P3ADEe0g01yz0yVVNUPZoa6jWlH6DEeqw7tYeIbeFs
wXglbQn7nBrqsK5xELdVbDmYYEW7483HzdiW4Af8TABb3ubPQO//OBQ69igxPRk/ZfPWlr2FgNMq
6M9tio9++O5ki2GLxlElpkRue9FEPRAyHmsB/E2h/A8ougmCUEB9ElQXtkB7K2B4anDbu2OTskuX
J6mtiKApW1azTc/QU4LuZFwfvCr3ODEHPcW2xYqWtV2D76Zx9IcNcN0c+vY9UGxsWAuhrciUyLVe
Emhv6kH8Rsvlvt/+oVTc48TEindGbru2HFciH6K7pCwcTN2xSyzcX8CK1+miqCmpSjuRN2k6PMhk
buWxY7oHjLFs7ShvQ1MmcdsUQ5ZeFYv8sXtgDxmzfSugiFi3ZQbhZIj8GVYkU7O8/u81vWf2/zTx
u6w5c8ovLsL9rjc2IOUPR5GddRh1kFFDVdceyrHoHrsD9Y+q6iery80m31GoP5tEfv7ff8E/bx16
l5L6zzueLSGeBkHHAkOwqxoIRM7LX44Ox6QHYLr06/A1cuVWVq0usz6t0N0Z05vh8XzoSEE179fR
IYM9r5vFx1dCosaPCPSw1XosHNA9fifjW+LjEc2OCBKTHop8ePwtmrZtlmOV7h4amHpeQQ0ferbh
TKc+xzo094gZZt3pyOKycJdimaAehyWrEXJi8n6ewnciqg5NPQt3kRiaIVMaWnw7mqbxqbZ4odnm
qD10amEo8evCtogxgQLY8xwltnq3+KB/38r4GEkNYmm/jq7rNppDMur71Zq+9obG5QS5xUOTTvcQ
QcjQmrAy9y0Pbf28G9LXAHqoBydmF4tnP7V+9rUG8APKXAU4pcOXTcMB4OD4u2VNF1f1yGx1GUnu
T1D7DN924PO9O7If8Sby68R7XqPD5YbgJCKxdg9NGIUvhPTx/JsD9Xen5b/jMd0Dy2AmTlbOZ0Qz
yOabN0MUtfO1VstgLyjEZnKBlh4fT0Os1+4p8KgKnvqkgXsEiSi7zJxst4QFPs6zrZqhruAhwP0G
wvsrKcww+LrYhKy2713l6/nS9rhzizlu1h/UMPa49M304Gu5XGg1OwwBDQyZh6Zm2wcZgd/yqu46
FR/aGjr5kEFN2IZ/ta6QIZCfL00vA1ga1GysoQtadcuhRJLuAXHANQ7kTkg+iypqXhaoqj6RmkCM
/9ia7nZkBx33Dt1RVZI1/AvqtK9ZJN4eG/p+6/5HKola00P12KmSbsDZasJupBt/J6Rx/75/2iq7
i2+eAyO2cVXl0EOr42bHTbtT5oF6ODlUCOLGM67ll2N/ye4ajIYs5myJISzbB/zMlNOXrYcs7LHR
ya/zJH01o0aEJPPSMXkKqu3z1JDfzdN9sv9pnnZ3SBSKelZ2ViXXc/0eqGr2JpVi/QYF8+A3nc1/
+4ld0AmrLBGkhx77uFLFT3Ia7FDni0Wz/VY7MNp+U1T/y5LvUXOAJ4gZZjLiLOpJqcscr1C2bQJ9
rs2WkgKI7mNdJboH0QmJ3kllNSatJQGAbvwzAtHBnCrZddwCCI6gEdCqMsJz3ETdZaLRbwL0v6zE
HkSXUGA5N3BwT0oMyXTL9BhfujTDuz8Xiw4PoQtocv/1/zjXMcbmdZ0EkOmAkCC47uKPDDYlxwJS
sjvYo8+Guva2KZMkni7AXKd5JaNjxQrdA+mWGq1IOkeyrFkKHfTFm1Oa1YfqOJrsDnLI+0jrBELU
0VI/QIs6Zx0/OOe7Yww9dT12E4beNnausuFianKoPqR7DJ2HEFo9Zgry2TV5TOLgceDHunh0j6ED
rPAuhFtXp75xw0MzjlMZxPT9obC5h9BVcSIXTwNs9kiMZ7hNsNxnml2Ojb47pWGmbBWHQV0m9dg/
AvX6eRD+mDgs3WPoBE9EsJC5LrUn+jJnU3sNB30Mikr3MLrAQ7SbGYii100znHqZPgWJHc/H5mV3
PNcmHOaRdtlpMqxeL4S4j9BVh/XIseF3N63ssmmA7wtk5pfhRemubGx37BLfQ+m8XFdhBBIpPc11
3s5tWGw6/k3kvf/5/3DN7pF0C9D5Gxh+OEQjTCGAGit6DkXhY5Oyu2A3iPSMy9TXYC0ZX7Sih8tK
ZdvsGCANgtS/BvTMeHAuVJyBaNVtJE91ZR+7VdXHeJB0j6abeVu1yQDvAOM2vNm+AgXwm5n5u1X7
D/O+x9IxvkUQpxKyjHxAl8ewNjBDAUrSRx+glNSVdZxtNE+GxcRnju6aKwZIvi9QyOy5vwxzFg7n
rY8E+WaSmCxllcIa4VAHnrLdPamziW40jcdznaz2ElcTNIUD+Kkc2hR7hR/qCN20msYzdUYCZTF9
AKVyPTb4HkC4BkMEyZDpXunZSdxqGqbzWY5wVjkd+vo9grCt64mnkUxOq5UcsdU3M+zxYOlKj5VN
ewihndS8LVU/n+dO9meTMnfqM3aoSQ5vxV8PDLLNmPYUrjPRXbLMxQNI5iw5BA2HJ+evg/fJwsZq
wuDwZVK5HtmQd5ocgyfCFPLX0ZmcQeSf2/lMmqgvKKxUcvT3vh9b1V2g6lQKq2RaTeeFSPiwBAG4
ZysLj90Ne/ygAEwWBid0OncABeWdsuJFJ3T6dOjb9/BB5mB3E/FhOgew/imY2gSc7uJjE7OXK6ut
izq8IU9nyGuSt61Z1XcebsmxDG6PHdxi6YZpXsZz23JdQHQbYjasOibYQvdiX7MbIJmV+PHsk2jL
VahskaiDuQrbbfZYzTygAz59M5BrcZP/GVoY7R1b0t1eD7beDJWm81mAPXPKnJQFgtqxx3u6x35t
oEFU9YLEKunJ99HQ90aSY/Rquod+SYPeYwdTu3Md2jBfe1Kdqwowuv89L/9SJu7RXzqCzZDqaHrh
lY6Xt3I2tbl4TmAww2yPW/B//8y/5ER7JFi10IpFDf4I2A4Hp4XEomjX+RgSjO71vnpZJdPEMboQ
bX2CKyLgH53/89in765u1eBMAc9oz/3a+6I2Q3MaTXXs9tgjwbKehZOJY3te1LxcjExJDgHj7dj1
sUeCeYNyY7POnmFeBJe1UX3cYJd1cEl3x3WThm0dej3nPpVJAR+apgAk9RjsH6/6v95NbQJDziSt
+nNgAls0W9/mtIcP17E13V1OFWPawiO0P9fTIIstNrpIoVx/LKHZY8DmyKPlbEV6aZp2+7CF/fqp
CdvfScn/y1Hao8Aq6lw0A6x8jm0EPsr91u5J9Lse4b+Nvqt14XCDdrWHQxsL0Dpfgh+dbj8cmvQ9
+ktFJKrgn5FcoPNVaViBAp04yXX849jwu3Ma6Y52W2gzOPaaFgDcZuXyiUe6TY+d1b3cVz+mM1Lh
PrtkY5Q3GXnQ4cF0Zg/+ghDXMHmCoQ3D9XfHQ7THAIl0j/yCP0NdyWTI4OQF6SPlIlYwmbpj1yrZ
HdMm1HLafMdOUOG6trZ/G/JjaoJ0D/sKY4CKqDEMvnEOlpMBPJXr10Nb5b8gX5ARkpa27ETgDhyV
rNfgXUtn5o/Hxt+9SrZ9NDR67pIL66IVEupsZA93qt7v9ATvh/EfKt09nqsOVM9SV3F44wbjdarg
x/gywlxOwGVwgBe6MJuTz9NW/T+K67/rvX/6Uf5rRE48qdqlGTRqv9W1awFPcE36s1I4dfoiqxVG
kENnYFcD198Bd/vaeNsmt073sCa/oLBulMn1phZ/k5UPqm+UOsDuWngvdyqnjd+cy5Hk9MOT4lHa
Py9j5SJ+WwOWDCq3mxbwtgxpVsOx1U5Jj0So41i6u+dkJ771Vpo5yplKanOjm4Lc88mjoE/EyQ+L
swU865r1PSTk3FLnsYLFD2S+fb2ObR5lc8Bh1ekhDa+uUa84pO8NepaTycErgOcwFFCTrv3YE4Nq
oEma9KfpDf6zhS39cuKA+8JVDzOkimWBpXK5+XmF65IKYTj7De6oYTLDNTCCZW0ep1zIL23NVPbD
iBlGPyBybp01OdS+Gv/HHaR37Tfj17yFaNRYOFePkTolIE5W5w1PNuQckGodiwr+zE1WLNz52Jxg
8BqHj1G68OxSx/NmwAsbOn+FS0BbwHdz4c+wSK7TU1hTRwuZwOq6XVOTnmDb3tb5Ogg+tMBvNp0U
pylD0ZwU6JCsosOXDa2FOy3hCXgjC1wWWYK0EbGEww0Xq9XBOtGmyOzyLAq0Oc2mJV+HyfCT89ua
/JjrzcNd1XYxvOktSfknOZAkeaFTRenTVsl0Fie9gaPCLpmbIygibDyZ9TMYGinWq69hdNoWItwy
GBOHUDVGNmbCblNXz+nqvg9wge9E0S1oBt8SMJCyD9GawGOw0O3dFl6kwV0GUs+6dQFYLBtAW1DQ
SWa4HsJuFUn2jcRopJEbV20qcwUjwQtXEvaOfHXGoiXhg3G5Z5bL+BjOozo7ixj1wjsxNx/WlYg2
xXboyHxp4Gy/wnZUMgKVWOn1CXWNTL+kE227x2zd0ASScTivFl7cE5r5eZbGCUEGNU2UUlgNUtq8
Rgq+7hcIrKj1sSUuQlc7nKCttuGZeVoEuFuhH/kEJCeHyFqo5+9EB+DM2CVh/fskNlF6ktUYN99R
+6RwRgZkqltOI2xXxxc1h4J/ADxrMJfGJ6AJZV3YxQ9bHBD1FEmntj/rVnczGDM26NjLgEMrz20v
YbPbm6gZPsvApCFBeFOCx3liWNa/hLBRjL6zpqpS2NTDYlyUzi1L/ABnTtb90Tju4wKa9yHY6MLR
KIO0M2xJf1STE0rkalDp95jyof8MdvkmC7wu4e4Cz6Pzz0D1jSn+5y5gP7rGLtvNkN77DzBOjWDL
C/Ns86Nh2OZXocj2MmWhuIRkSJs3qYXP5jlM616+g9H1ur11IHiQAC/R0A1IT3clYn4b3dS2PxVe
buRjwwfqy65rdFUOJIvs4zxkCVy/GWXkS8oJy/6MnKpeQCEPHvCMtP0AtcXkjYvFSUAgKDit9Za6
B3hILNsV4kH0D1g4suzUazAdXxMvdfsCi986urmunv05GGSzXjNvQ14mfFXh55BXqnonh0z0RQ8z
XWgiNiHchPPMcBj5LdsY22e4lk/hjfa81x9h3FF1b+Y4S+QllKpLTvCtXBA7XZxaeQF+OrLPQ7bw
HxqaAG1Roe/m3sg1tAglslvdmcfdZMUpxGvV8qgaCBxfKjH3oNcEySI+yHTM2M3ADpjnUxVY/l3K
rOkL2G0qmM7CwrkK4T3E6HobNVx2T5MjYQDP2ZZEMNzdXP+Fwqc0W05xKCLIGa74ijoQo82bNYBX
c3uX5MkhaLepl8GBmHaOe+u+ktA7Dns10UKXE1YQ/BnpkvirwhGGea2WxBTcuLj77Af4M0LgyBhI
nsFTftvqm5vAkv3g4U9nq1wOU7Ii3m+96zrYkOKahslxopbxh5sXGn+CBYfFhaCgVpO90xjlvpD9
NNszTBzx0nluHTFxDu5nG5c6izJ1XhZBtc9FNKXbo1tHga7FCmep7BpWHjkimGxS3ka4rAX5Zus6
eM9jBfNXyfgcnMZwibJT4ret+WTDjTbXZdpcVs6mC6rT4EjlnyjMu96G0djU79FFJv5uUKun7ALV
eDE9ZAoVzItHXwluu6rGfTdVVTwA583k+gQP0UYV3WajqWC9TQLwFuxYwaM4xA6K3k2hMiBjtGya
3tZrmJBrhyfj5qWD0h1cS+FGDwMd6Irng7NZdItoNk5v4nEI2m+kXlP9BDNzGKHnrTRa/kl1umEn
GEi2jedOpPUCy/dtbc6xUWz8yGGoXT2Mom7oDSRarp9neChHSCPmUPMTrJJo9dcGqWRomo+yia9j
VwsBbDMYWNgjKXSUHmQz+f4K03EKzDABhjg8jz1cD/Nl8i15j99MPy2RnNavGqLx4KRnRHasGCC/
KIoA8Qke3VW/vm8In+g1zeBNncdtC7AqrLjToPD9PMFSznZuBYFkSaICDwqpfIvPjeM3q/OivgYt
YXg5qisVzB+M2br2AdBduSErarf1B26NEcbbYx2G0ev9pYaGBZVDsj1vYcbMiEi8+eqWNlh6CM1y
GI49OQTk4Q3cL0Z7CyeZTdd14ll8v7lXCU0AgWkcx3zKcMpD6NWJbRYFrKa9f6XZqrMcRmYpvyTM
IL7lirrGvgmnKIWNrR171uR6Wtb45hkN1xeG3S//aMYVFjT4I2lXvYG/dOPepQqT+LCRxq6nls7x
dMX9H/RwzZ2IWc5uSxI4x8dq6jYsphXLZXEqMB+TyE/m7YI5Wx6GBvjBN81Sy7pgjezGP9Y+IfEX
QxKfmhwKYWHbY6aoFn/CgjgK30K1nmXfOiivqK+DHhRBfQVBRFqYBm7LV5NMsJYulAxT3uVDMHtc
hXrF9YFsD5KxPIiX5DRCpKHzgI0mwXeoyntWhLjUm9s2D+pDMmN/n1XoNC/qdcP7i0la9jkmwEUU
1KdVU6AWZQkcEbtkLolOYthE0zU0w0svBwnKcQT5zkufNbp7pqZ3gc45GFjfmm6A4XMc1Wx5E8GA
Gvq7eGfNPrC0dfKyaDjlvB2IpH+kI1xeTiOr0ApI62CCCXzbV8kltI0jb/D+RNt3WiXwmo+adugQ
MBnOBmDxAKqlpYKIqn2ujM76tUgZE289kC9BsfLaLO/gZD+AEA3eK3EFZAwrVSRZVPdv1IgeUy6N
0MOZevBq9QUUteicVrRtTzasCFailjp6ZnN/d3Ll4z35SYH2laLI0iUmJzMPYTTnalv95wbWz12c
bwasxQ89yG30kxh592TbGRlXIUUTFFEDVThfILoveeI4nT6TGbIHV8Fdj/s+WUOk6RQE3n7KPWXB
dKvxCeHr3LVTUpCYDyfl5dzCRRpH/UscWrdcSKJ0BGcSC8mziNU0PVENHGk+0mi7ZLiMHJzH46oZ
X2ZAp7K2MNwk+kmNlX+T+rsB6mY3+jimqQrPKRxsVlyjSDlOdmMI+04vgbgp3sbTh1lX0fKutXNU
4KFhIF+9rtxSVE6yK9I1uGYqsGg6vLrldm3kVU49hDUYeNW4bGmxbVPW5x3MkPhpsiG5CuQDn51J
6KOAlJLJedYMYyEjwgU0W3uSdx1r+EPqhP+Tgf3TPBMcHVNuzbhlz0NA7NvQQeIVJRCdngRPyYbc
KWL27RL0QJJPawJbcKGe8SgCsjbMSynUyEFDfvY2JR87F4izIg2Hs7VZp8dF6eyNcFDQPyls4yJe
Z1cQWdVXxlj2NHPhH0S06q9eLM37jGpb1CF/1bE1H+Mma7NchP0I2MmsYVKfr2GduTEXyHb9xcM9
zl/5QsQnHq39w9T4NDthO/PCbPO2XlrbxA8e8EX20QVp8l5oB9TCiUxtElwrkyxO5xV2bgqavJfh
n/VU+eljHHPu86U2awooZ7Q4f6rvegA37dcNsimpjXwPZ91hGAnqmJp2zUnwJQoeloiBjQ1aqQsf
rIyq7GUM1nG6LOD5h582rgkvMs+W6XFmfSy+InM1wzmeSECufd3X7KlZFw2zV9EuOndRb9NPdNZ9
+GagM+3PkGnwLSQJRi5vXbBk+ksg4SXcFLGv4/oUjo2c8jmukYpmMHuvC6uRo7i8ogGlOvexn+sf
axrT4WlZu2X7DlMqh3RITmmM3a1xtuI+b0AYas5Q0alIaVNdN69rhNr/3LWMmsuUIO7ACx5+bLfh
Dr87D4kh9A1INU38CPwsjU5RtsbZLQJtav1Zgx9g3szjlPZh4TOxyIdxGGnIcwiKpHhj3Bqi/StK
44SgCgZkc3scRz0iLsg2cdFzb3Ak3ysUq+6LilV2Yx3emehoXPIlGqkKvsKcfkSZvHYxTBDRhJYF
dgeSpbyaF0T30c7raTHCpp85OP3Tp9Qhtv8xjkNGmlOcDAHuq6qNg+U9d1uzijwgJKH5NFXWFFlF
NXkZt3T1Pxno/vpPW4PNdk4bOAm+81quGQQH4s6+hcdzrNZzu0DdtczqgHRvOU4ZImJI7ZAiPMk1
QbNQtqA1XxsaSnelSqrQnNhmkQLkmnMuIAPfof5AxtcMhV/6ey4CG5fJvTaTtcKVmRLKftJj0C2X
rgmm7DaO2RxjxbbM2dNA9Lp8VVkMLhKXKhu/Tk4Ny6UXoQmKTM3RYz2IihcDXpOnJ980TGBJkhpk
wBFd9sL2y4CkdOCQk/k0b1DJBUF6qJ46QYbSVWv6bqDET8gO4m3r33itdW5h15mDFAaHeviLpU13
8S6NfSHgcDrfNjqiQJPZnOTj5Lqgz6d5cuNrErlE/lxgbZKeNxWG8sTd/V7NxQiPiWuFNPuphjQX
dh2NDH2oGlimPvbCd5+zFJNwotPEIp2HNXADn0a9NQGyVB8G5bphX5fIA6LkYcIV0HxzjtYlSoAo
+9JB4jyRRZyJsH7XL7GUkISODK/nHJsspkWKqOpRzQUgzm2JjOqXtHHhVlgc+I8qis1ZVzVvcdSq
+aEL0cF4Rr+Cxm/TduXqwS02+45OzB9IPSbCYanCAQHv4BFD3rVEVF+hZ9HUJ2EQFOvGqudpCpGZ
bRAYcTedpLLoNw/DEeD/w2udWKqfh4mO+tlW8/g4933XfINB9PRXMKhxPK1zgGVka/JJzez+uKNS
3O0rc584conpJLYBuTpwTdOaa5eYC8jKGc+b3gnkBniqXGB2l67o1yISjujvTM2LAx0BDozpvdMD
4rf9pJCM5SQGAv2GVno2PtEhHYK3NAGID6CgpBXLbeFCTBqLMvtwBKO7aurzGtK0Sc5NyutXMcAb
/hyB5jD8XBeiliKQ6Fx9hVYDDGptnI7s3EriCbZmTd7bGvVI6dtmzEmDANrny2zhYifILH+ksRnJ
J+pmuRTejBGqnYTpZc2bJdXBl7qOqu/pPTW5pitY5h897/+alJ4Y0t1siJDMGqbmawZPkLTIuDV/
dTGObJ7CsqOALUjIzjpj6d/NP0U3TIJPz9C3rBhKGZiqX9b/4+y7mizHzSz/ikLPgxmSIABiYqSI
pbk+vamsemFkVWbTwtAT/PV7bku7o66dljY61A/qzsxrSeDDsYFYxJstiIT/uJI5kEEiFZKRBouI
ghRDiVpOjBvzo21X6mOdC8tavyKpTdZJ0JcLPdRj6D5wdC62c98G+acq200y9H+7Obiocgm7F5J7
nH36qMxgHzhalkBG6oJdpOkbrB1e6ZKg8Lvlvpe5sLAagVsKC1549xXhHGg2Rg/vzBYEiu7k3PMg
XcfNo9nM52GOWzWtT8hE9sMvtpfzAyHh8CXKhf8CAcW47U0Ot8iBGByM11atc8bDCIG+Wz3bL/jM
m7P2G8jaeI0CbmSchOZoSim7hFmtltiSvHmDU3eNOwaXj7Xhws/9asm94Mt6w+VWRjuTI3oha5lb
9x1qJfa+bb1jiJpkrHmaDq+lLJi7s4WBe3iekfcTs27Kx6dlQsTrNwSI4HA2uCUs3wANUxHz2eFz
CJa6xrIgqU8NJg4B/3HkjS/lyjEkUkAJRYEpo2YE8bBiI2kPGTzLWFQAN1lQr46eEtFv1T6wnn1F
/HrdPAaRgQl8RQPDY4UXEtNq9u2UYNl24xL3wMbonW1KESbU4uW8GJMvZld3eV0mQSjs8v2qdT0a
3Sp1XoXYWjxHQ4bHxg+X9o4WYsHA5iq6iyJLzAESSrE8AIrWGZYJrXc9Y/WQBuXc+pDLoRg2M4uH
RQT5GCd8F4AjcsuMxXF7gWh5dm58HEhZz4lmk9+eCJnVtkf82PZBGGqT4hbVkOdiMytunzzCx9Es
XtbIcEq6blxO1PgYOMtKn50t2SPUyx0cAsh3BM6BoAYaivyNbJCT7yI4ZNwLcKZ1xkY0eP7HGPVF
INCB02yAB4Z2svqowVBU38qtG1SCbwqG96gpMZljxWxnlZRdbpFfjvAieYOItEgkcuF2Oq4m7KK9
QC03qlHzmUdVTBhiD3eLpNebkNRzUaBdscOJCYtPk9bbIJfjCFOGjAOzji1uY/BdnxP2zvxo+9Er
0hmJ2h6UmCoI/VcTYkJL50X2ZSLCmcPrM3LXvFYcMTWph7z56q0FoBHGSk9l+eKtG1aPghDun7jw
FUuUDNogNUDD5sToGdBWDBPUWqQ1XGjeXWi7PnpAIUg1xw4p0DabXM5M7IItxAQjrT/+ID1aFWIG
q4d8QJfNLPals4v4wfGmli8DBlR+YYPfiiRsRRPct8XiITTZ4lBQVoNSjw4G/mYX1IOnXMxgtp8B
YJZ6K3BQHwE54KJeMRSiNj3v0HUth/ymNF61Hf3QW/WNtMBpY27pgrx0W/afHqNVeRtsuYa4J/ca
fZiimQT3MNgJjnuqp9sC/kc7u0N/49LvIBezKgGrwqbvelEDQUHiNkZH0gJOefNadf2GOA4+qd9L
W8O1iAOYup2AHzYJ/BXjMMXIYvGDs8cDhsMlG4k+VNBZzN+XwMkhzTnPx/2C9XpJe2Ztk7WURl0a
oJFmbOKuV67c4TTYynMeIn4N4sv2Wg+GtjST1mUl11M+eiJK4BMpJEuRxODhhqpyBT4bVKgpTnxe
6YaZZbThASCBAVvfYbaLgcP6TQxn4VanHS6Ddheuk999ioo1LcHZwQ9Hir5bhJj8YhvVws/VgCEb
sZkqzIlhQtpe7nlgA7ceGz+i0Ssyo9V4WXC0Xy3eeBXWIWaQlZo7Jqp2/ULwbiSJS3+kZtpd06xx
IJ2jbQ5vp+sJ+pwT06wYvqCXRcCUy4vizil/wGGlnyjHDR42wKxEAq6F4bTqDUrqH5XD6RoCOSeU
99mPM+kwDAiGA5MZYbed0VZj+tMgzRTdMSweBUbFqN4+mhJsxLe6XkyzC4tQkwWfrqUaXcy8rx5C
jPu4lwMpQrazGI26z9KGbIni0ZdIa15EOEXPPvC5CvUvwP/H77IPp+bVksmQe1OA8HmYrwdVJBa4
qA0SMXfINYZtzvbtsVTgvXCRhJbueoGDD8/Qozh1ZzgAC7YkGzgkg5Nu1YtKpB7jY3ReLJikC6br
iF8wFoXDk27rpj+Jgi7mSCZ0pX+jnpd7Cb/ObLvJKDLFrQgWcjEe0qkeyDRMFdY4xNAnEpOxztyk
ov62GkYYXRTzxPy8tdAFJpE3gOSpaKsRMdMXZPwR8cHmz3QZsPhr9BvU83YiG+q7MbIi17A9Lrag
DvMUKq4TX6zjdHBGS3rogbIv+7bhm/cKVJGxU9WACUyspyAAyGA89fooxbW5Adu6Impk1/VBMCWU
q5rEuOduuB1cCK6RIR5j5/mQVne7ivjge7gGxePiFhVrUey61bK0LwULD+M6ye1gw5V4GpFuwTJJ
YHoFutLMJP36wvx+GF7ZgFT1T1GEk7pgsK3ErmXlJJ+WBdRM2hZRXcCdCEHafaV1y8950ermaYnw
wZxdEDXDyZtQqXMz47UGaDR3G7uvJ6GK01r3snnBQa/K58SbMC13aW0iBdg6REZb5SUTbmZLEmR/
cGdT8IAikrsGcsBrhLH4igRDb/ATKRGAqTIFKmiYjhjAenywo6htf499WgN4hhgHVBpmN+meKD52
mKskK5vtBexJvu5m3Mk7uW3igkM0J+eA5BKDHfeQXhdcabwo2Hs153bf1KJjl601sOj6gTPj16Wa
JEIrmgnRIbuxsKsrY3/hTIDjDCC68rohmhMOYGP4pmZE1t8bxC4Mwe4a9eoD01gZyt2jfpNznUi1
LE3qVH9tlBsHfsv6PNTHEOby5dBpO9G0mJ3Vl2BATg0gUg98q3G9mHYVQHw/JoPvkx04yrFK26iQ
OHbabrCYkKiq6Psq0CJ/zreiXh8RyRCOwN7LvN8+qGa0+G4b47VHj8LqePSA+nY3sJf343OLSGrM
NpqF68UPyeB+cR2r7cW5ggwA+NYgSjaJcSQGvjyBW6mGAWK/bgxvJk8NSzI6FIcee7yEOp22IGgS
aOM5OPMwvGpU52gnIQ++bWc0A794S1MMN/24+fokUHu3Xb9tkcPrIEeHZvhBhPV3wHyEpjWLiB0Q
1orzTDJoXO0qw2TdYIPEQno95i+9Xe4k6WeaOEL8HjdL1PWwS1h2/QSlBVyFSaJn8m4Qc0vgS69E
9TFd98cPMcFnj3gDVhw7I50fe1jv2ifa98GIe69gqhtjGw0w+gNiQlGUKL3KS2nACOQ1tOjy26AU
47LDMoosxLnV1fw51qtdL2YTin3p14mHOLx09XRyTmzrl0goO99dMxzpYVBTHiuE3XQxptHiCpbb
dcaeCwLzPnJOitNQwmlwC6JEIYMBs/EGaKtrgFoxFFeGbHyHcbWLYhiLgiVbuW2A2vVd+QiZhI+J
aEYp82MNZSP2RXRsILtRzlEuX4X1JOTa2gOfNe913ndmjCv4/cLYRNAR0ATcdz99AkgqAN4CsPHG
d6AVW0ViPmJ8rWOGVXYEhtgauD1ihNTj3LlbYQ9FOZBeQ15+hcPaTX08LSix6fZqHllVJ0uH/HDM
oR5fmZ/2tISUI/23oR8Rz0tYtAdTRcfEgyJoiEk0dnmCoGT6QvHX5DwvZWGPsrxivwWO36u9rplh
fmeCoc+AFmwTlMokJ8d/y6fVW90QtgcEda9r6vHaTPHmSnYHwkpPKc9h/v5jCqafk4W4C7Uyemgz
T77V4TOf/5hC/edAIdbSGXQNHpdWjxFAi4r9QQvNz3FCBmmNMq+E2GGb9AAiydm7GbBaD//Cw/s7
gVWgDH6r9AEUFoxQpIGZILj/utJU41ktxCADcegtAKdgrlELIGQX3K8DoFscsGriJYas+J7+uYTq
qir6n9RGPwnLClA0a0V6sTNoM23TCs6QG4gHuwTzGuhHcHHRv0ga+D0x1U9a0L4bcKlBU7xDIEAn
nkZn8im1BebcdMHOhHRSJJK0mEpXp//FJ/w7Isuf04lq6MOwmwRsxyN0coyInck6YM3/4g393qP/
pD6zaPQbRCkZlCPqe9P7r0tk8z8mnPV+kodiTO+ULXK2c6j9iMveHauppX/wwX9SmI2+P2ozcbYD
Bp2BSK3i3Afy+M8vqN/7VH6Sh+brXI1MVnxXeGTAnj7nsV9i9/9jj3591n/wQQeNpVAH4XMJNoVs
3lGiZXIzT//8wX/nCvXobx+c975a7FrjcimFDD4GYEpL4nEXoFcoCpSN7QQ19gFOIWb/UD0f/TnP
poyKRSBGiO1Qh8q+hF0/3NY+4NV//oZ+XVz/h7v75zQbUTsKWKgIdyqSJRBoqd0CcgX/+3T+yF9D
TN74Lzr0Nd9Xtn6ut+rZx5XGDvlQTSXOKkWZoZ3xY50pqpvjUWAk+9ur+48f638Wn+b+b69j+Ot/
4d9/GIvDflGOP/3rX5+Nwj//df2b//s7v/2Lv+4/ze27+hx+/qXf/A0e9+/Pm76P77/5lwxz+ege
ps/ePX4OUzv++vh4hdff/P/94Z8+f32UZ2c///Ln9w9V6RSHnr76Mf757z86fvzlzz672q7/4x+f
4O8/vb6Dv/z5f+mPsn//033//vE5lP/vX36+D+Nf/hyF/y44NERMssCHNf7qGVk+rz8RHD8BDsF9
SSP09ly1oxrVpyWeWv67z3kkoMRC8Pc1J2Aw068/CP4dsA2O/Hg4HgZYC//Py/vNN/Tf39if9KTu
TaXHAY96Xaz/+4IS4fUpAJX7UqLMOWI/+505QvtmHzEEu34qluGpnKLoeRNE25QZye9QJxYNKfFx
/tLeanZwX9TwAKMX7R8+tr+/rn98HVfy6adXgpeBA48ExUBDTqNfX+k/rAiodOEVcTLIDPL5XpvI
TYBLZH6cC7TeoIRNXhBvE2+4p1QOxM+a6RC1kmR+vbID/lO1I35j9qYp1TdWQi2nSyCM4KOqCi0I
Obv3RihIUPUbpJDrT7dlXYFarjvWZCFORg/lgHm6Ql7MMcJhPSEd2QCWFm2ekb5ZUsqEy3QBnhwT
2fLmAxDFEYkzDV7AyTMHceZiGUDOWuP3XQxFjn/sc76+G2hfkqkOb3FiIAeYbVgbb8NI36HYbm8Y
hWM4hnEbubrIsjuvfEwqQG/fKR23D7/p2bPERbCHInY+jc0y3FcQFNRxXTYVSKbFfIftYzhOfO7v
ynD0T57xg5RDHbrjMhzvgQfnaagDl3k1PbXGHjAmQG8E1voFSqW2AzIEm0iI1erNn3IJ8aYXvJRo
kNhNmLCPtaZ5vM00uHRlQXb4FW+/ipynZin7wxB68lIQuhzn6DriunaHKjeXoilyOkOBVwHpCYvM
Lp3NxATnVDJ1mu6cWFiWgzqAu4yPz6zzbCorQ1NRdOUT9KbsTWxRjgULoy6FqvhgB7rhrXX3W+Nc
rDhZbgrV1M8T6hy+LAu4wRrHy0MQhl7cm6DKOvSwJnTr549O1VHGVaMfQtSSYI/kZLpB60Z/qgoa
pj7gUgi0b8KyO0SanKOuxJ63EghJPXGHyvXSxV5T+MnmAU1XOgB6C6RdNFruGyTnxsPAr8d51x54
SVKdb00y4Og28OEesTE8bkucecQE+y9EsdWBzgiqQaIdZDJNM75VNfpF9DAaAEXFmDhNyHexdWsW
zRodYQzSv2vUHlg9AofZVURrwRtf/x//KHCS2AN8K75soN/RU+rP7qYIF9DgpfEfPHA295Oa1zvP
ki3pACelywZTA2C0O+jhQJqradvbYhwf2pbxfduG20M45mDON1IligImnXEOum9cpe8w9xYZDSqW
QbrCj1AjhwkrOwhCtBckaB21BwMj6GurKcW3KToIGBsIYKX6heIsk/mLVM9QQQN3wxE4xWMgQars
+GFeYeBaISY6GjZGe62LIKPaSSSIKVEkikiZ9YUXJStkaGlf0OrQg+LKmsJ5K5ITDZg6KH/ZbqKQ
NWGJ4LjXBqTpELuCA9fKqUONvfDkSpHHE135HVSK9HFeMRXo4Xa127aXs2E3kQndvm71nAJF92+K
qLyTWGSyIArvvEklbQmJW+Hp6Tz7tPrhTF/+oop1SmSLod5HctbFQThxtwnavRVY9Q+QPvBTj3jx
G72E43HTM9sR5HrcDXjZSQf29bGAJuE9sFF14vXIDuMyTT/6sO0esTJH4FJN/y3ophoYW50DxeNw
rFvAXxpYe8GbYxSyBLNOf2Uwp8nt2dapJYWuCCj6YLtph9bqZccGGdlb5PkvOoXVqr6ZAN+lZU/q
XV0ATyhNBL4cZdFl4oMHHtOg8yhMXtNM0cNCF57OVf4K7VF+F0I2vkF1JE0QQwGF71ni/AO1mh9N
D1AM8DYOvKF/HTq7JY2fF3fo5lAnbH7zTU6hecGa5vaDm/Rpcar8an09z0lU9LivyxnszEplg4yo
RRdJABkGvZS2YadrZ0KYUSs/HZTmxdFq3WXLNOpTBEnaW4gm4MNWG0gzZwQDgfcVfK/B6GyQikv7
S2UaZ7N868dfxBANcT5v45uCjeGAMsE7XZIv3boMB008H4J8yLMjTI1bbFtfqivnMeL+38KvoC44
yjTKwrwhJqSFJtPhCbxFHPMFLKxTSh/LIF/a9G+GAxzq23uIw2d/r3JoSY68drO8WAWh5SdkeMP0
6NcqfEIuBV13oyX2fcCt8J7ngX41bUlu4DHQZZwbbNCZ3+PZlNyQG1JDZI5NKg9fi3l+a5QkZxex
NT976LZNOFQgPGEjYMe/eRcQDEdPQKLp498MDMhyBE5dOf6L7wL2iK0Q8ZSLqNv6YRwGc4REpnqa
cNZ7Kn34MlKwvwG7nZXsfikUpC9ZWQn+RXcr/QGVhDuOwKD2DpWjZ+7m6FMqgcDyPPDqA4l8dsnr
EL4e0i3dEzI3+Y1e8aki+UTsZ78L43AgHX9sct59VSHvHlHcpZ+c6roDfEzzrhgKnP1ATUY8BqG9
3tAtp4eQVUUmBswuvxq2x3kRr0PptdHdgJCo+jQ3jwQI0BmKyCEOobnPvMbkNqmRW+F9MahH+7qw
eoKB1FYAYFSLovSsMhP7xkHG6bsaxInJxkpvdTxAQpq1PumHGE0d/oOvqcFyS4qHcmHLW9tb/4WS
hT6Z0Vcn6SM7KqCructbUrxoLqF1gpsUKOyMh8CstdTgbvo5bddqgaA/GM++CIHRy4iAZkPwtI+k
mEQvmwFBswY7EFfkypPn80u/+rpOm7oD1cF1s966RgVjtkFuQePtCqGhI8Wsh9pfpnQpimM+mPV7
KciSmt6VX4pADTeCFgrKhdJPtAppMuMDTuBeOQQKgh0i1wiExbrdTWhkSvtODkg7gPIGs1i0X1fo
x7GoNgpMBxLYx/Vsc01CWJXAOx/EAN3KaTB1ecI4A0NRAD4LR5GcP0NQXkKKabG/72Ut/HsUdGzQ
riMyqdkMH9AoS/tH/NWO1a7aQ/KEhhXFdMrRln1GC5/LSuMKleqhH95szrc4r5mDSCtA2BW0tdiO
KDTeHSOx8QWiUc1W3M2bY7sxxDUaln104bANxFXRQ4scxjb8LL3j2us3wOPvSEWKa4pAaPHWzwsN
EkC4YPSgs/+O+dLsRp9Z4Jarm7+Q0nX3LfRcGW3ytklbtBTeXlmdbe8A/sPx3Mg9Akugqmtkey1t
Cg91UfA9QzVDikMaEnog1C6TCMx27E/KZmvu+e5+WL3AnIzZGNQFCv5yVpI+nmlbn6tGNs/zlJdx
AB4FvTtov6lhVrmfS3T+ZrU17nMOFAjWwiz1l2iUeaoJg0oHwnFBkxrEg00W6AlUZlQUQDGuB6/O
Y9SOYKv91QYE+LdK6sou8DfkqjiwdQmPcFrZHe96fdFgsW/rRXQB5tvmdTUlDU5zMZO0XnyRo4A9
79pDHdX6EgURiAl/Ywe85SW5agsPaLHyv09DQe/DJRgwVw/Oe8JqU0Ifi3J7m5Yr8q7QqpupOZ9P
Dfpu+ibaUShZMww9KC7JdXFZGIOaZmrJ+7bk115fPpJTVNfvaF+QUBmKksRuC9rPSYvirsGqiN1/
VHDzAKmF4MnlLm1CT9+gEQjTG5m9VwtJ5j02uO6MAo3wLCUB7RTClxSCZoHTwuS/MIjOs8an4m5l
VYABWkzQQy0Qu8PtQF4J37CGuDXP10Ra7e0bq4ZMtKx73BYe5vE6BvS2zz2ZVHJb3xl8Mg8Oq/g+
KIgHYBwmDOXrNpna4bO/8tBQwHSpuBYrcYYOJMI2P2X+cpv3GAqqhZ4pvqGsdo2AFMYzMNqJMOPY
aMCpd3WmqlzcwDNTvvpTf9tBur8DMTrsW8DHK971Nl56VjRnaNIFFpKgnQ6Q7GFwK8rg6IXMXRlR
KHFafW5N+8ID9Uny6G6cIwORVdkk3dp4u6rUy5FUEXYm5PcaIYaY++N213ad+oEC0OnOYPoChZoX
aD1pygMAvOUk/O8N4llGKN92DW0AGK7uQElY4iy1Lakrndr52JAgoi9cWSdwNBygbHNJHiC7pDyu
FTuVjkNDXZybreI3hSj8s46gMmxqeCSTzTJ7bW6C2ntVHxH6Ffx4mJdnxIxiiNaFSXjkLGqUmioF
ptU8FA4Tbd4X4Tkap/Ah9FV0mj07Z6Nfw2tCIvj3cLefJ3c1w1DT+xhBtXe9DFkiHC4NsvZtimrC
Qw4F5B5SzxOcAXvoI1M/KvcgWnFNu2TRrE0xdVQnUPY1WiPr9dwHzEsdx94Ub8ZMR18of1eTGmx8
yMDuqKYPEV23HsKqO3QeZogtnKOEBRyEG/qKj/mmsP7NM77q3BqSlMpB6Qr54bksOvnmMRvuoer2
v0DcHCbowWxPdt2m1Cd+cdMSBs/QIufDNtfBN/D69AsXm33EBFwfR6R0vDY6N0e08pFHf57YY7N1
DdZKBnVrqPvy0o91eVOiLyPzMLT98BE8e4x8S+s4HM0HRTFXTMLxsnb1GTkQLHVe/t1bsfdRl2yI
UE2mijyDNAJV6WYe20UOB+JacVyDSd4sfJFPcBuMqYbJJjE+BthZaJpBxx5B+WovXokCCr8yKfdg
V6IhTpGeeqzntcGcoPt3wHBhquCTSWAIIMeBBgfoDcjJo5XKNAKuYXwbh5OQzSODXIJFmsdB2N+a
4EvnrTcT5O+IotoFI//alMudXjz/AEvcE0Rwu4JAt6L6Q974122JF0BgIaHBaPilL+SbUhIm0+q9
B7CRtD1Kc4pIg7BaJ3WQcFnF2Gb0BZmoAa7j3hxl1JwjVip4Y8LtzHskewsWtQfVRPvQNSZpoA05
5J6+mrTaYo/2mSePAveNnJ4TlECv6QZBRIOLw/Cjx3C4AtDZ/KBBbSAhEGDqq0XztJ6wRsJodihN
TVM2tt4ezsN8ZxqRn9cW4lBIAoeDhB80j3VXi0tVoNQmWkW6gQE+It6z3Vfi6E/lGYWTB/jOEWvh
V+zFWjFePJQwv1R1CBdMP48SGSYIStw3SgHqbXIXTUlUT2y3DZV9JYts04jiiLJx4Mxqk/YMWc/8
BFX+fcM86EIYfh96CVCgp1F1n3qFi081jqi4iDxIGtCj7dko7QD77gAx2WMdwbLU0bVJ0VnrbrYA
IlUuAu8HxfuD8H5qxkSAt3ubSNQdZwiC7tdJs10OZxn4PxkPaEvL5m71dnwek4nmHtY880Y58R5n
WCZwwlmle1AePKiIauL9bmSg1RfU3cTL4uGjB68PAcgis4XAhReDY7gosHcpt3y5CKQvX2ZqbooK
ATWb/wmPZAn8W5ykfFq9BuwNvUfS9VGN1felmD5d0XMae9ZgEA+6tY0ZL7rD4Pdmh22TIEWrXdM6
IF5miFpup2aGu0uQ6oCd6wCx78EXA8iZOV28COZGqQ5RZHBDCZVht/3kS3BLNJP7QWwHRvwzgwUz
xqy16+b56xQsRZ8gKLg5dtgOnnrfc7c0L79ONICe2JBXWkl2p+p1fEdCpT3g57FuMLYIHCCOtMNp
DCMKeVolvTEUqYr16iXCWH7pAjgMaxa8YQEvIFHo2Culyk8JxGdp5PxXJTjcEDzqkw1+TMzQUHY3
CaQKn5M3BPGMrTmWAp6fBqWqsVP8l0bAj1xWR9WsSbmo5w52n7iBwqbqZnBz2MB3KF+FUYruW+3e
iI1C3D2kyaolh6CuhdbsCYfsYdeG1U2dw7gt/fF+6VuMetCT3ZcDfanBnydipRCCtR7mRQSG74Qf
TFD0V7sVEaxJWAUtoDw/vF1XhG5H7azTpq/zlGmewcybIT7b9Anz51PYXIj0znapKtyO+glS8Xia
9SmXgzxUw3TLN7n26TBNMp2Mr56LzqxvUo8n6ASRcYYDR6zseuBdu+4RdBjorF2dOVaQo+0IggGO
xC+DQzP48323zcW3ovH7BHfoO478z7Rvk+U+sDG0YB8CONcz9A7m6GP0PZZAhjK9zhcCv12s4UrY
eauIDmHQ1jibTHeFAtwyTca+Ur+GZ7d2UxFXJKKZb2GB1eMMKb919hIIIGY4NuSg2Db+BL9ilaC8
e70xW7gCywx4d+S8ntKerFWq5YrUTaVjiUwSfFFeAYtsXmUCdjgZd5ZWLzNbw1tcZxn67S/oEhgu
0O5usak9oF5H2DGiDH87wCARkmOAk2JmqOdSPKf4YbccJfNyeZJ5/aQCU+6FQcEZJH3NK9FAvjvW
30+Q1sV15VVZAwU2ZKMEYUnY5zEnQzlblyFkAK19hEhtjjfMCW4TIaQXpNPHzTY26ZblKzPQcjus
4kdeFeFN6wUNFC8lAUTcNraLAd9gWl5WGl0EqgSg9kPmgEhZjd+D22xOS43MRdwUHwJQF3RtDvFn
vF4f6qHo/LS54uHSExAxwk/XBEHxBb7W5jJEMFdqCsFANlR1DrVpfvVW5m6t9wvUZN9gnxv3Y0OR
b4xJEwNVM6UqxI5cIQ6mjntkchGsCw4eN8nEXFxm7s6wcpBXmN8g1LNXq+pAfP9ZMoa2EuiiGuQE
GFVfEA1RnEVu/QO6QTyIhAuNq1OrrYxXx8WtoLyCqGroDvgTmnlBNSLKgAavlWzZEUxW98tQWoyO
eThclh4HJk2o9xBoVtwRbui+K5FuDGsHBiAEzvmIs56w885WsYs3j2mP4Y/6MoD1FSjFRfbX8gcV
FCeExQbPWPj13cRpuZ+LbtRQyqB6EzIb2kHMoZDE0CIQHXqMzmLrE1viwm4GzNZNQMKMC8r3iGO9
gDJhaV4CP7qZ4DYFmLno+7ozPPHX8DOXHv3uUd+UEHXS/CNvK/WMMeRrLRkEnk3/EEzDcyCbGR2d
ALwmaKEQCGMhBBPDeV09XK4MwFfE9XxYyabfLavEIYIfNQGP7GWzgUK4ADyYFq7Z7r1pXhPwCEhE
QJksYDO4UnFrhQDoOPy2CpkqpqrtbdRQGN26VaAqdXyZXQltUdCjcB0KAZiBYB0MGL/dxqKCDnfo
voVIf0CAfy6WPWVT2CVTSMvYMhxsivwZJnZ5jOR13EFuCY+m8/9m78x2IzfaLftCTYPzcEsyZ82z
dEOopCoGp+BMBvn0vbLsPrbV/m0Y6JuD0zBgwCirpFQyY9jf3msrzN4seCo/Lqb3I+P4D6CkGuIC
CYqVgNhsNI1nwkRJiCnq10LF42DIC3dNbkZvvXFTN7gVJCAj+labbT2YH1L4PIxOZl2qirNxl5/T
iOB53s8ZDUgmwVtAWnfvNoJYkuPbBI3AaOBAbDRGRGV+IJ9h7Nl1uRqbx4xT02NeGs4VRrV2T3ou
PY7K1/Zc7HATdeXtkLlaqBhMbb12uDA4qPf+MAHgR5XcTObaH0B4alfTos6RE/tBQKmNZVExXunw
CAnNneIRi+IiAZOQ1owGw7rW1la/MDx9Df0Euqrhp1yKiyJAGXKL0yDVnWF2fDg76RH9nI2jmQT3
ODbsk5DyXudDFOrOfCZUBBuc4A91mV8t5B8i4RLKUmRwjHAtDM+L4Jfoe1d2w9bkhMNaiDRqb4Zg
Yk2evQKKBoWcAhWgs3mYZwgnhsuCbAQdyZJAcz9rx0O1JP4QcbBYeXud/lDzGMbLGVbClbpotvhl
88tB9MlNt67rcQFEeukHQxkVTf7opO6t2+fBdiSb7ObGqcS+6qN272yn5yi4WLcB56JTRlYJyn2c
Vd3TMuYvzlQjtJI5idraw6J8m/STiFcGLPedY1WRqdXlnaXX3anta3zuqSueHOKZ+4Kcaww/oCY2
6pMRMry4FY29oRhb21UDucvxVjFrukxnkR9zPmvvlUqyJCq9hmP3QGCV/BOfgFQ6F8ZoMhdr7Yq0
azMcU+yNsTK6g+Gynoa2Q5aCWCynwYzTQph7C9tJVSaYTR1bR3J06Vprq4C30a/MJ70V9vkAhFPQ
V6X8Bvxn4PODh/2CvzQ/Ekt6HHwkqlIztzXr22WwlLkXaYTHP1bqyTbsh/NtNq/TIW1kIcIA3/8L
LEbtgXs/ABge5SclyylSaOwiLkbRX7Mu9C2v2i7fXBVMH/j1uNchGgQTQ6GicMglSicrUG/t8ckZ
+ux60hQf46XgTWDGNIurBCvyEq5DxjGzbKzgoTTc/iBUvbJcdfr0Ouue8ziClSfG6aFTydSpJUqm
bZO7q83yOsXIiMWpVAEZ4vTMLfYwhzeRbXrZ41jO3YFxFMc4OZrZlhu1vfegKK6hWzcEdT1i80T8
5ukl9+SHqEhqDMvwwbVcA/uTEVTVW/Oj5MDHwG1FsAq1HEmkH3X/NJlDxkpR809MYqO/XNxacKTU
nRfID3yW+GO9v9Qst/9GJDLD10rbyLYZJ+cz50C+xZvuHvwkdS+ZsqqrscOT7VCjd+jcedg2Wenc
jq7Niia8lAel9Xj3RuFae01LOuZPhJlgLgRnpUuGHBWn7/x2qEsZaFHxjDzb66q7c5XNGJLMNJVK
tqNFeZKXl4PmqnuUNbGFCUUkegp0iMdtNYQkmNyMj18+pbEH2iD2jMT5VpOinzZ2qbfHHnzQozkE
Rmyiyu7JulnX5awVfeQl/swo2rQiq3U5Vdo0NRLTYeNT2ZaJ4o7yVRBBq/8uBYFbn6jPDQ8+WGct
GA+1WZvX+iTeA5qgZJhxpsXgOL3a0D2i3k7bTWGvN6TXMHs1VYBfFktiQvgtcodqjdvlpclgeutt
aJn1FRPBmq9vjce0aeNpKToCpv76RNpEjyEmdZsxH+dYKcMLk7I74uLl1uGt3Z5boNj2lpbcjQ2h
AG9031QyiGWTS7/Fhjh1l7mP+AXq07uziwSuVo69F4i1WLdC5MntLOdsOyhNvVK3+B2klhMVQWJf
y66rnuikYUUsYER4QZDdjsRydhOInSrqghZIE1MUd4WomASnDFmSW0eR5w9i1Ic7z2TgszGpb5yi
ytSzkxMsHAlS3zbi1GJPdgovSlZL3aulMPYwpqadrQIuaFhQmSACl6gZnVqTtznv1B4Xj40XVHjl
MQSEuN70JzU2XajGfkFNmcrzYNaIc4BcG2LOD9zMOKUMdrfz68a6zOccJuZSZvFSmG/M35ITB5H8
ouQ0GVUtF5olq9wTwRPSVXlebhZmf5dlLpxnT1s3gE/mbZ5Zy74fBm9fNE13alYj2+IH1+8ELkYg
XeyD4dDMsKQ4tbS7Qc7JvZiUe4VcyUvJGQp6rbRPjKaNG36r2Phde2kujWR0IqZrUoXYhU1sFA0N
RLA/vB/LIukxY/rCHZCpmzrCTclANqw8PWipD+lqj9fW2Nxo6RpL1LzLFtLHgRhRHoRkC+tTCrBL
D1udMG/MWAWeVAPwNVjrH+3s0sw1u4xUwG+NnyXWge2glcneSku+X9035s7goHDCJL0vKZ58L0A4
GBtQjrMXpo7Mnnh/3xazpVgZEYGti7l6SPCVa5tKYjfvX3SgHTthZwQLCa45XWgj0yHuML/TY9u2
SGWs1uhu5sJlpNgZ0wnClxv5rRxfh8VabvKF/bFpvTwcsLhDNK1PnnT6Pmxch82GmTnn/3YR2d2A
4xu5OCeqZ6Ws0EOt3zBrwDHP81sRYjNKp/ikhyt76IPO+2QCF1w4o3HMxtxqQu7b5P19c+4ka6FR
Ev7T6heNgex1bbTdGeti8FQYWqwXVvM2B/AkQkJrRNAVaeETe4H4QAPl5mG21nVqEsTEGERk1JfV
NYN/RX5SQnPola2f0goDOUgKBkya02Ld0l4T0oZvAbEgN3LrST+hPrPbTLmTfySIlVwTiFjurNnI
93h2yKXWY/uMMPSaifXbrGhbz0e3e7RMAihZ62CnZzvNXkiXrs/DAjOLVUhf9nPHOZ27Rs9tSi9x
B3BnidMgm8DvKXnrL9UaJdJ3r2nd9TZmU857on7TGqH0DYBf09qm44pYTjqTCqXQah7g3GDc/HnB
KZAltqvX3TLxMsIuqw1UjLRXe18De7IKzd9prTJvz+VQF57G5HVgPbrD5KFFK0p/zKFd3ZROau/N
gQYYMUjrsS2GAq8DrhWmPTpmDs2edv141se1ojOucnNGd9K7ymfgRSxr7oq4zhzMRF7KTpDJBaF9
ykAGGjNAI9IyFzrotmiQJiYfuRLdIuDn5bHbukT/vf5HbmQAp+qkHbHkY2foinLdmJbx4KHtR5lu
kPdiNd0w360utNK8cSa5bs+AhdB0Vu+K2Aq8xEypb1MJhzrs/dm/tRl+d1yR1uBKz4zqjiFtcG9q
trphgO1+M30hT9riMleT+nTMOzhOUZqWJBBq4d/btF4dMMW/9OjQZ1Zgt15amSq2OGm6HVspfhcC
YNejWd1h3isuFGeufU5mJrZn/6mtOgGurc04Svoqf2zx69zMUHxUqI92/qTalRmB5q+Ym7IJSJi1
XhL7l5Eskukcs/AOvSh2oprF0akAYhEr9Y+541w1SQGiz6r8vawXeUDLmKI1ayo+EWo+Ek9Yb9e8
Q9/sPK8CM7joLwl4z0s+Etaz5lp3fpc8BqqZb0SXythLuMUVXZ/GULhEXKn8VjAnzHBD7W3f4/MT
BMtpyRuU11LJq6Keukh2xcHiOHsridftZy5RF8FSwbbi8mRdNl5Q79H9Pvy+ebD15ZSmDIx8zTnK
tmJoo1Nuv88Tpb8I4kbbvqyCnWPb1aMxeixcAzPpg8zl0ajd8YQmgCfEdlScGWb7VBIfv/Txy1La
ZhLB6BhUg6NzQQHhV2qjllTkNm3TfG9qGbaOGtJSpbcEK4sBAUCNi6mHTcpcVth6ecsyDRuEkbza
sHPUW2aS+mk0p+9NZ6D19Cmu1WxG2isZRV6xbjkR/q/liJ+AHGKQqodpSNWVL5N5H4z+eofFstys
WYIkFRjyruVwcQcP3dykompel3LKIXGMajqpSgckExj+D1dZydPUFwRdVy6lKNJJW/DJX0FKUXzx
LLNyiZusRjUQtRYX0iw2DoG0Qw427VAJz7w1Mje7smSPUL7Szkvc1xpu0AbERzkzTw6zRhKlRojE
7mC4p8Xt7RejmBXr2dqjGirnNK4LdSdLoUp8WxnzBMcOPtoksMl5GukHIiFniPwsRVltfptxCa+4
CIzO0R9ezlLQs57gygohEQ6va+KaT6gb2Sv+tPUabcPapEGiwccN8u9Cs427BfjRYU7q8iHJE7Fh
LMD1HvJTaAWNd+/ohr4TY+tE0CbF3ZQyPo8aeyyPA33fP0hTT/eS7ZXBzJJct0HrOHgnympfDbm9
0UAYHsfKsrYUqTJV6H2p35TlMr8is7iXjKzKjV8DGOGRt/trJgb2fTVyAdfqpbgvau1b3ndg1Tv2
T4BCR6idPeMcp7tOW2W8OzBJNtyccWDIetDZEzMNYxB0k6EFQdkXRAeRZ6Y7km8cAM157OKSppLt
2iFkNHkwR01gGj/M3E9OOHTgY5Pc7LjXJqO4cTkcED1WybGq+RzOXUsbu+Kqz9UZtYBplHk3131y
lwdBvUkxAjzIJLtnd+XM43CXZvsl+Vh5HrM0UZz6olSP7izW/TKQJbC1Ere1ybE25oxcPAd5syBG
a4l4mWzQmyFl5jOyA/o2iS3mQhrI2q2nW/apN931XTaZu/MF07t+qKBdcuWMiJqyXTHru0cNgzrm
eGd331l7b/Sx/4G5ZonoLHbuVxKVh2kZS3JqS0+MOguOTTG7aBpMYviotuFgY5CH0umhKyyuBigT
2ZzHkgl2pa4IAtxWqzHgjBum7Rgk/hY3GWfONNN2ktHNfT+BLkqn3tnrNpDSqAeT6HCpXPwfK1wl
dopVPha4yTkL9tY2K104C/RtXnX52F3bSV8cBRFSrvAYBcPCs31+5cZ3FhztcqIpbdi4gDq10ClL
1qD/hVcsz8/Ina2YZseISr/+7rR1slFOUr6Ww5IyQsEy/OiWzD9oeJhuJpnkAGX66YpUuI4TSWKG
LSaYZMLO5a+Y5P/BRng6as71QP/ZCX+fFUVW/dEB/9uX/GaB938JTD9Aacfujhfm7Gf/1QLv+7+w
rLjm7z733wzwpv+LYfI/np3xhuP8NIz/ZoE3vV90ghu6b3m2bjLR9f+VB/5c0fS7Bx4koE2YnDN9
4HN19+2vtS5cE3U5S9Pc24jzx/WsIad1dmmjdh89xS1AtOvZ4dvXG0yT6jEj03mUNBBy4xgEpCjQ
IZU5+R+56I04AW52J8GSgLdqBuqqMb794Tf7F2b5cx7p737eL/EWh+PTkDEd2wcZ59YFswJAe93C
DZbEYGI55beBfhnAqNn9/Te2ftbE/N23/hLbaVy7arqGG2KW9lBUFJgdkGb+dm1VvWGEX8drAE1g
NJBAUZSv1dSp0G2DKg643EaMDrr9skonrLUZUHTQIpd14toMzPFgNvz2IBNfl1aSXiYQeCIkA9wm
+Iv3/XrGHOWbroRelOsOnpJW42bclD7uR4IDK8zqub2pKf/YiaEa7yfmRtDsPD9kLc42gCaqI6Cx
+pJDZHbZyXV+FeM84IJo6guuQuaGS0G77Zpho8uPBVXiUMp0pw1sLDIQXB8QYx/hQKqDN+Fgg8ZI
u6JKs23ujR+kv/uBfdgcET1QyYXEWQvlEvcQyKBNJxyiCSYaqZtcj8t82xLoPvRzPJfai93L4DSU
eXVc8uC5x8u9c5iCd4uNL0S45kW+ppcMz2E6p57FXDTnokYBnjU3tAL43vtQTWvMSijBF+RHa0oY
7k/LNXxNZ0u+dtiMFCpi97OGIx5wtU3GxIyZTFzVaBNb1el72qwfShu6BJTNOO0aJiqYWzTo0Hl7
dNGbwtTCl5cXtiLqV/XbbEUNqHPf3pgzN1ZMcezri15veGGMsgHAHpzO1d8YHacbN50RPx1jWPai
ym6J5ltHPjWMCsdTQmdlSJKcXKZQD2rSplsFdC9WFU7+xh23+NmbvS60B0PC24VNEHD85D0RADmv
gzG1NhNguIvgjL4tcmPT+y6gUOnqFFuL5GDbjQ+OqBYkArC/5ZnrRMGIMHXmZDxoqj22OEPhkE3R
JCowX50VlyKjGHXgaVaOpW1JZ9chw4sZbsy4YEQUOqavIdvpU/XN9uTDgJ+gC0xn13I2DoT/oOtB
3LsI7ybOUHLbNmCSYtq71jBHBQ41KsfQ5ErTDw3IMvEcYEufAqxyvJtwPJKd6zxh0C2iDtIm5egN
RCoYYucxpB8x2oiV5LLeehS0t+V8B81OP2kp4Wt3VkhoXEvDuhm801I3xX1ucZ1fUOHx8nHO4kxf
+EqLyJTjahjzK9dXZog1nmAlM4NoyHUVL5q50+Zu55iatrHd9G40gaM5VXBKHWwAlX+X+YyX2kU9
EDtFUcqiYRBXU2sQAnDWeMbvpPonkOHXP081nj7eCRSfRxPL1dZgmCExXFKameBz67iDEcqp5EOv
dRucFdtWVB86Ic9hzfBWesYUtSYcit6yr4LFpbBunRCrW+Tx4Kh1xjVzxmOeSPOyclsgBwnx8y14
ONwYdFz03wzTQPBrpX6v+mXbg7q503r0Ti4ZxISCSX3AX+SKKDusqCb283dRZvw3L+ug1h6aGhwt
zFsjZLikBePkLkNKGOB8pGotucdALA9mAR67wd0Yd1Xh3PoJhplyKlYQ8u24xwcsjlCvu7P18LFC
S41Y/ebTos/jQxf4LBaDDZIJM+BuFka/pww1Q7qV3nl8pPRD0I7dXZtU48084rHgYoJMOuf8j6Db
omm1RET4W79w2+QaxvexM61lww35AfgYKJcEuItb2E/jspIDbHCnlAumuM4EjqOZTXfFtY7krs8k
YbDLAqFo5tIBDjoM+j47pIjKIQkUfQdsjEm8Tho0qLHdV1I7esnKegf8hSrhfC9nP49Nz1333eyt
mKTrH0yB9zqhvp3j4qrVoLvt+yB7tbTO3thZcutl6JOGSDSaTtQcgjwGnKvlBuDsXAK/d+7+fh87
R1e/7GK+75iA8yzD4xDxJcEMlE4YyOPGvg7q2xpJdF/lKwQ04fxD2/KXeN3Po8WfvtOXVHYxKIR1
E/zBlI7O3k6C78Z6ppZh8kVzcL+5Jgh85dhkDs4rb0NjwT8k6yzzL16sa3DGcQzT0oOvfcwMr+Zc
9quxZ7Xy8DzaJuirkTGRX3peTGJci7PWKO6HtRn2hdTaq+S8kggGECfcwe0J7atDJ61f3CzvbotZ
0BorOlb51JDyyvHWs8UIjFc+lek+S+hjNZXqNx1X27iXUERb3d97TfpDup4WakNfR1VXIRSxtMDa
e//37+0fX+75sPeHGGFul6VZF46xJ1uR3PWdgpWxkGGsfCJQf/+t/hy1//XNdT3dNnT+Zftfm2iN
WUuqoVDo+qP3Y/BQ2RbHfrN8HIrAnV7+/pv9LHD6+tD+8bt9SZLTSkOSq87NvZNNN+voWM9WJUbk
iPTTyLqzBlMMDGNKgTZgrvtBUxb2t4Ygi5sOl0GO+MM7Gfd8DEu3Vdu8H4fjmLC4EWCq4gyvS4xP
So/FkMOXheVzo+eCW3LRqahUBn9bnZPStjSyWhxK2vPxhAaDf/jI/Dmz/fOXyomfgI1nwuHiafzz
+1dUSCca+wh+JjrPChe6EQyogqObq91k8LvOM6Tyn9rc/uqD+qdv++VMbSLNdno9M8izIXcRJsNz
Y7Azdwno+E7XjnJRV4nWdzfl+ZTjgev6hw/qX/4ILEoBHQJ+4IMk/fMrL3VD9U2VGXsrQ0zq2RIz
p2e67iYRQXWqFxr32vF1zpuWC6mdSO7fP2F/8TgTUP79+3/55DD36mtDoknD+H/DyaauBojix6p1
ebC19F9VrP36Pru+7pwTzhicv/ba4gDTuqH29b1j9fkFzRBU2XDf3/z9a/qLlZ7f5+/f5ctrIqhk
TaVT20hU58J7XmDYn10RFZHNf/+dzi9FN32H2+r/tRg0wSjX1dX3azITzfeN59INDuwz//CK/vIx
+eM3+rIOcP8YB4Qkm92k8b5n83Cd4/zfoYMmIdK4dU/DAfPi9Hw8bs8HZbMZmn9o5f1Z+PTnxcim
ftzkI6qbQcDd/c/PaiLUDG2XEBae4ma/zt30QIuFccgyZe0bSz1S+3U2uzFrziY4Ry2okMhrS2as
lfaueVgQcKqzYnK6kKcirZ5dELE3RmY+5R3I+r9/b6zztfTrj2sQmPcRJfiJv5Y0k4stkmrt+NHS
8SQXrHYGcKNdvZaw07T1UgWu2jSjvh97oQhVZw1keI4jTB44vjuy3EwVy2k3yQPH1GST10ZcNdxp
cMEtIZeIHw1EoIPeVhzhEO0M2G9hBk49nBbfpS8gGzbNiicMMRBKVfndZLoSLnNbgaWY7Iu+7389
4vy/lqAumeqwdf8YvsIY/sRv+O9EbOAjyOPO8v2ftapIvMvPLH3vxB/1KuO/vvJXyQo2w8+n22bq
7+toVqzHv1Mb4ITouutbyFNnLes3zcrSf6ElQIfNYPsUj/rnYunfNCv+CNnrrDFZPvlR3XD/lWZ1
3gx+f6KRvc6sBIw2AT8Fh4+vPXJ4TsAfVvmyc9GqHyuMUy+tR5zDNxP46XnQqddB07+RS+i++1S3
vc1YCEhhwYne2P3MDjbhuPAcLXhhHl0fJyg1JFWy8tMp0/H556/3/z+M/4QPYe9hef7PT+Ll+6dY
/pof8uuX/qaemr/4GBhBseqmDpTRZ7n97VG0UU9hPOoQHE2fjfS/HkWTx5cvINsM8gC3asAP8n/k
UwP51GXddl1oGz7P6b96FEFgfnkYXQRcF04CFlGeTOtMMfnjmTszcEKsxdpvVTkKO9ZhzeyMHl1P
03L9STiD8ey3VDlE3UrDBAYTfI6+RCLy5yy/l7aZMa3CkktjzmJ/4k8LHlZJJwQBztR0LxI5juIp
TeuEtVarKatJcpNtzQQFjTs47PXyrrXZdEABOLSSjNM1Cbwn5rGKG7mcHzKnwTa/Svk5Op513fHB
2ZvoQkdCe+LQpVyqmdKV9B95jqqjvhwqHNyCC8MAJH4nnKXXIznI9eRTR6dH3egvt8GYTAsWcWYM
R7NryVVj7ribOERZBBDW6r7RQZ3i1emm+8qoq+C42jO7RaATFg192xTTwUxLNgoEu+ZT0/xxgWgp
afq0KsCrF6OiUekIRZChEnhos7tdIA9+2p1dZ8R1VDE9EeAKPmuyYd8w+dXG3sSxVG0GD89Ams8g
LLIgIJamuYVZcXb05HxcqX75MUDJq68Uoa230hyNh9o1sax2iX9r2ouzAz19EK5lacdGg6Syo0DH
/QYPyJ4OREgXlKeka1MgE/Rwh0I1xFqIkAKuZYYZJYZ9disuOnnfOnsdSzv9BD3ZfSi9964qVA0P
jY6u8ETMKQSJqplPhCeAYKQJtNXC6aodvxWsaoND0BhD44TQnjUkU6ZiPpNt0wur1KribeXhuMtz
+m7DQeeiqXWEWzhVmNGwpgH+KfrXQgPDWxY1Y9WFJcZRZvjEuxwbuzwdmbN3xHCR0pRZfIwVTwu6
Gg0nWVWPDOLS/N7vhzSE8lkAzuR1c8Zy4bus0Km5I9fveq0SxM7R+pGWlf9sY84oI0PvC+tNNB71
EA3+TG8E5mLUehgQlN1Dq0njQBqoh5RUcCKoguyEX+6OwBya0zlQ5ziLc+ux9r92yN2YV7Pe3ZQI
N7sW1stHV5luHhW6Vr6gro9jqJmOoqMqS1UK/hm3Eh4YSUKzzEvlY2cv8+bYS0vbeT46fbiUKd56
ki3UjMi7cysAqXfDbnd2PkB0ODs+bXt67VA2IyKQPO8BPQhoTEzL/a1fJ75FT1e1vjvcP8XzqNNk
SEWQ4LQjhZuTaDK0eT7o3oAxex5x1EQ1WFR5YNyTYXMKJvHSz5lqCbymQ72FeT4prpNg6GNQFS2R
B9+0BM1crtlGQpuN677LcAU2bue+WvhuNBX6KbitHXKY/Ux4qtWuHLsXHS2OmIu36iz4gfDosSIW
7kzQYV7UosdgjAlCmLp0yCtQhiXVld166XiZTP4MYANQcnUPZNmWdzS+FrCuvcSYnweeLj/UPRyh
lLtpPvUos9AhSi7BylO2zvV+ENnwoOdkGEAXpu190dew9uksYvI+Azm9mEpYwKHlNCSQFwwHTx0/
qBnZdV58L+chAHOTJB1ksqLV9DjFit3zIK0Sa46vkdGRo5FMcbWWPxC/6WJyrRkPfN4U/YEnU40h
wR8vxMxt33ZTJq+kdJxPV1OSqRajl+w4kiX9ZgUlkKNKEERMhANIPuOPWCSUCaTANh5xP68YzgsI
smVhE//WmzaNhE9dj+dkLf0OnLIZHQDDn8JCrBw1WCC9PsK62dYRL7GKKVFi/lAIYuZhqQpJFEN2
8+s0Sf9yKhz5XOP4qkKwCcvVOHOzlx11XBgJGrVhHUqpjwN/vidGPF9OVN/doHmX2AFzEZCKddUt
9TtLZAtp3lWTFHY0U/WCUkCq95C0JmOFBrXiYLRLdhoGeC2O1rUMD0zruRrceWugqcN1D9zDmM0p
ZZBskdUGbLD+TaVTGVmaSfsao+10pQJzHXf6MgLsqDGASY2ulrCoq5GpsWyuNQTzd91S6i2bDRv4
hFEc3HHKaaiakjt2y8zftUTvHmogVd/aIbM/gUfMD3NXzRTqyPuAZQmLQevBVxZTfZ+P5zhUv4rm
2LYFK69PGeveqForrvrJ2QHRz7PIwQlqRTQLZWJLsmztwFO4r6kneVvHXvanwmXwDtBmDGVGkZtO
KIWihqF6w5ukpaSUdXPe6+ZobcqpBHtslvW+qqZ60xENunL6FrgFkFQj3y4GLxjevPG9qfFbjEmO
zmzK1ICXS89NE1OQVT8ygyhRoxWpi1BOjX3ANEIbYiHSIa49Jq7hgvz75mBpu53GBaNqSwICO5NZ
AFT3P9iauwtqSvvXfMLwH84KO0GjivRUGec6inZhoXIsrNMV0Xu6Ve0puOZnGd4qChefCqN3Z5zJ
9XpnYqA+ZM7SDMDDMDl5+Xfan4ive2u+mZMqG6549+SrDsyF4c6g7fJucJjM2Xmc1c0n8bT1RgSr
f8XJBck7kNXLYiDHtIGWiYOkKSuUBOppGajJvqHMWzHap3urN4ZO9c9IKtQYcbffQ0jVjqZ9hvcY
kgcstccV9lTN7ARVCfMDulw/fHPbyX6D+MvUq6Ty8gD3vnipwXaAQrcH7st6bstv9dwPH5T4YCrv
Vd1px548d85vNSeDDH/Bu2c+Ab/Hckrv2PgDjhfw/PwbBCwTI/42FjOdJMYUd5DiiAe3/CFDAefW
zpGinblnZebNNZ7OrZLDZqCZsY746ipuOJi1JH9UtgONP/yAC1e3aPT8t26J8YczD9OhnJ3mYnY7
7+hoWXNb1DQzhb23tCJ2cF89lvQF7URb9YQ/AIhR1OkesafyF+HeLJ9puigFFSY9m83CLwfnOt4M
QWyUPwxoOQv2HYGufNtQdPneBgwbNqBnlneyGMnH0Cvc330/yZRPrA3fwwRcXdwYgLpOvPFtzjgj
x1UNihMrVeX18hrq8HrHwVTEimgzZrSMZE5cj+XKw6ol6Y5Jav1G01DF582SMzUNK1GbpJgo/nHa
5hUTkksDB43N78XiOCc7SShoHsd+MyXYFjngackprVvA/I3BzIzyFbFJWTPPCQG9fh78tP1YIZph
vqo954rhA8FCOP/uHcFbddH1OJ/rYORn67rauarP5PlobrL+INuVqadpp/UNqz6w/M4Dfc5hh+oM
QMXpY2KU53UHeordmwHA7irAI9AlHJripc5lFVlqad/8LGer8bUAs1jVOnbcjGp8H4YaupnIzzJ9
WxTXVmZSHOHNFY5qgearM7P01OXQGSN2JF9fH9N1CB6CtinI5PGXXWVMFrFJKqJD9AnbL3rgTOK+
UGNw09oCpx4LjP85cLaE9aT0Jdn27Mw3Ml3AOuDY0ZFOBn9v1ZY2RAU4D6pC+Z3tgXRMOwdoRM8s
ufNuM7qSaFiWs3nvsuvEjZuOT4Lkyr0Fq/1mXlLObcJp+9vSHJxpqwerw/Bl1nQ8pwOhxrAjS3RP
+3NG+eJK3Rvp6OXasdqCmmll3bXYy9iJLJramFU77saZHO2TFS/fsj+7W3Px8+/eApmZo5CDvTOo
jW2va+6dPs7uW73m9JcFwsoitz2nvOZlCI7Crb3XwpvWG0rBtG8g4vN7fRFddjIxd50k7S8/ECSy
5mJN+zMToneqT8tWw9M6g8mghnk6eY0DuQI4I71poCVyCem0I5CUSVahfdsy0VraXHukma6cNmXf
9Dt9cIASiy4AV5HpoMecBj8dzOoxwiBcHnWUdwHuY1qeIe9BzRd41Ph/vdaLGdoTMDXq5mKAEFDE
zAC7DXiu7KTSXj8Y1fiizsXfCbaZeEWE5Acx27eEfmQuU25zVMLyD1nXsPJQvcDY1hs2YI7w32fL
jDWVxSu0NPFkUiwRUuKoYIPUU2j2wY/as/e9a3UHlSbppvUHiis0oXYUoNW7JFuS7wnU9GvbrFn/
yLERGVTcDrXB3tF2I3YzRwR669VEQiGo6xt19nC2edNvKSmVe9omihOluOMHVtXm1tOI5kfJxNGo
/N/sndl2pEiWtZ+IWoAxGLc+u1zzLN2wpFCIGYzBMODp/8+zuvrPiKrK6r7vm8xckSE57g5mds7Z
+9tT2Dx67H27QAIGM2WUvHOcgXISpfcEPVN3MhTnMAdSwJwh4XRU4pPycYyrqAPmmOj+UjP74wCC
PMNkKHPjYDg6jUSfyE5MDm5thq/zXNpsc1OCdclT+Z63LjRzAgCHC8MNsgb81J26Flun1xT5RdQX
48ci269FWZytSHM6b6dUYyqt42Mwd90Fw/tlTwmU7Gj3UNVms0AOlIGqTEPGPS1IrRVBpO4ui6fg
bqjsmZBoUnxPAVqRS1ul6jhbMGQ20if7xV+Yw8CSDy4JPX3ktr8LvOQ0TvpZLMa79cIC4r9fkgFR
ALjqofwRJnKO/S4S7BntcoaDWEON6RkJ4jOUs/SFIO1oTfWJCjyq26fAHqaPTBXTbQBOn8R60ruu
SKAMD4ELfqjBByD29tTjVbbzaXlDTHZTqL67IYeXHkE/HDThR5wAdY2ntxT6nVNnzHzV91/7uRk/
1dJfEUzVnnpENpvWIQSBJYaMALjg9mfCcQPQHXTTWc/yioPechqbCIBvCV6jSnltMlr8TUKpvGtL
gkG5RS3/WBEMdd0EoXkcQs7mM4nOJNqX1vBGeLh/MTjuuEUHlq6wePSfGFuSXRmFEx6h2DzECXAd
Ww428DLJ7gazcCcsJ3iRdRuRDayS5OwQHhd7y2kEHe0UthBkSJDAEeFU29Zq/XFFwGo9rGmIDmzh
Tkv6N1Ub1bCFdwNnA87o1NLjd4hqMnwMk+lsr3XrmspkcNELsJt8dS7YsnVBNtYBZnD9PiUd7Qkt
3DJehVauktsqV/YzHBiioKwC0mwu3HcXt+uNi532q88thiqkXVXkY/E9HDXVzS4ISwoJMgCy5wKu
HgQYqdzsQam+rg/kMMmtSoJBbWXZLq9jqvxjSAfoiM/pbN2eRH3rFKUbHM4Nkg904w6RcOh6Vx56
8ZHkJlTlGBsG68EBIbUazOit2V/UQ1qGw4dbZiwAvVMdXD/D7d6kJ9H3A1wEjTAUwcW8oq4jgyqI
G/+xDefh0NeLcK+SaUaBC5gtR4bSuwtmaRv/4U6Q0TSspKlq+Yy5wCWym11TrPq4PB8ZQVIZhQOn
y/kghgjvbUzIeE+MW2R/K3vS13Lx4hd7Qh68SmcBVKwg0eM1q7Pugg5O3exk3mIJdNVEylWYi+oR
stXyUA/OGFxWE8JZFPkTnukFNNI2MxZqXboS+0GEb1GF63TbUr7tBc25kBUpsw0ueH+5oujEbVOz
Y+2MyfwVWRQIkFJhPSoJggRoFdC1CNIQSUbjO49c1l2z5AfeqdVVfuPEwvtR5lq+0JlBNMt+xEka
0F9dlOoajVr7wyOHjIcpSgSAH+1gJ07Lr5x4g/hA6g55jHbaFR0cMIF+qIiqjiyHjobBSii3G9aB
Qr+76QCOXeUFiC/KQp3Qjyhb0BZyUoO3YV3XZqVUYsgd7pvQPiG8Qf+XeROPO3GhxEPEdjWIQ08l
lu8qMpPL/RiO9qYrfPJxvU7pVxEzC9uNfQMrJOvL8rGgHeivYzqWNzXlC39adSzu+AWSYMU+XQQX
rV95H4SCePhQUKOvCzMXnHDYomYa50Qewci7MJEKPknaVS8BAMxX+MQ43JIutW4beSYc9SgHMOsI
hEeSwMkc8bPujpzECYPDBFuu41njXqnq1m7XKh8UMito4u9eO6t9HejgGo8xBkW3RsGwG0INICKT
/g+0FDHYNbcE4YVgB3smZ57XvGdEvXcCgoXyNhC3RPwIXG0DsEJsWOV9zcztYGLRduu0o/ZYuxES
DL6SoL50iOUgabQl5HdTicKDgFM1XbuP3coCnWKGuAKtExHguNXAq/bFGKITict4ehsDCizeiewR
GIUa/qSeIt41KiAYnmROKbyVMw005nDxhy5T51GSEYl/dZAB5wQCQk5BP2qIPv6Yf7hEGNC3yCbL
2aFSshGrjbi1L6JQLy95rSm6uD0DuSmSKfTJtCba7TUDeLIHzxtc0BAJs10tRb2nW1t+4X9xr+Cj
R0R6F1roVdWHHQxYnQzPbeTnL62xR+Je5hgntFkkKIfCCnFcYpLGo2u4VS5gR5P1gc38nDQ5JtFj
lXVU8yjqbRAfTv4ZzwZTlnbd1oX0wyBlldgOJgNi7SoHD3jb1ftERqM4mWrUC6GZU/ij83X3VAZu
SjGWVdzUhXsWzGYDadBJGtB7pBaATVNgRM5XDQ6M5GMiIOo0oc8CRBHl8poMV1JjQtZPFmzEpiUw
OYu0x6ImehPezLCE67J2aNgEeDtsOK4jnpqKNHCatMX0FmAF2Sxhq994kjr3srNtvU9U0utLZbuj
z3k5FNHGEn3yFTtZnu4m98yoiYE+thh0W9aViQS86ikXo3exRM1CzJAeCOQybJMewcqR2XtBoRCa
Qb1djcqG2VJb6AepItGYqm5qky05RDB23DRb7tw2LtRecjLqKJnITWttnvntmHnxlZms2Kxhji3b
1s5JkDMFUS+rwo7IoGdVFeNKVtPOIllQX85oYuFZkpC+oHcjh4tgY5tmUh8GrANLGklScQdO9yU7
GyVYMNebOM8binNRdsG+kQnDaNskNIvmhgtOrInYuR5YVLwrK+d7LCx53zH3o/OYY4r0rGYgfyXN
SXPz0xJ9rlUSeLXtWTYBHKFZvksoNeSzmy3Ar4Mxo4DJSS6SxhmtHWW9l317Xj2/lxzIYOZkbnZP
F5dQJg6u7SY1YXZflHI+hJIBwi4tpvAZGrA6LfOYPOdVykm6liq/LdvyVQE92zYknxTHnE1kG2t3
WCX4xuONnuL6g4GO9dVkan7My0hbG2L/MEuGLLvzqWQrxHgsy+qaGnKSh9ace9nFGP3gMNd92rms
nhbs7FAQlenh61jpheUwbFoPzfkdDTFqSREELotq6f10rNbs6FqgN6ahcKKlQ1ic8PVtT1iX3lhV
Qzj9EprlILhx8bkadR8vxKlgPXKg9LmJ+wCOljV7WOTwWEj8U6e01Rh86K8ku8WEY4p/sqcT5age
VlHsaUjRktsXu34zCvqWWWpychnKYt4tizMul4phbXAgg0wwnkkHWFBZ4TrHYU4f0tYLzrqn+cOG
PQSdsNkoGxu8bAlmBHoLEwUFp/vKmWzy2dvyNHgoKE2w/WI3RTQUJI+EYslHzqK4tO0IBCswXh86
SVO0mFpDu/lGNMxZVCA9ateyt6ufbg+8bC1FXm7qYKLZ3+qsXS+IUldexULPiRKR6v7/5rP/o3iH
v4/8kX/++xHt5idq73+hE+CH/ksnEP6NUb+P21QS3Xb+938PZxnBOh5RDYxhXXGez/7/6axEXMDw
NYIBTjxlcB7c/mM6K/92NrUw3Q+Ew3TKd/8309mIX/SrUEC6ocsM2AmEh3lQ/qZ1zWpmn1xeu886
ek9MWNvhkQ3MvKbjMN6IyTxqq7PuazFw4kI9qE6kAiQrXzkcA3yTl2/wJ8cPrL7ZMS4ivSUWz4dP
EemV4w0Dx5nMv5sCe7rn1yOIyY26Tcjw/cly+InoIMCURkpDy4q4CRqPllVk4scWRs2Zxta/iMar
IJEFdBXAP3KkLorbufHvi4Y+R+lAkZxEYJ5FHtgkGCzg+9KIZK9iaB6aJnrlZO6tMTwTFkihsQ0s
y+xhDLByUUlu+h6LiJ7bB47x6Tald8q5c4ju1WQVG80e9eBVnrXtgaVvib+A5Uc3GA1rAdjAjswL
2Un+AURI+U04cg2yL0k/ZVCxXONJ+9S17B9zrMjwfeOAtMqAfdIbRchkjWGis4Ic5ryzMCC88Hy9
tVsZXRr8wpCcF8Ia1307TO+iwuS6KpGUZNBnRvsNdDFYg1ghwJYJh2W6VP6VP+CR59xZyGdplT0r
n0NDU0jYYyu2XE7I/7ck/E+WhBA+l3vWUP/7FWFP0nr3Mfx5Tfjvn/qvJcH7G2EuIvICXwicV+dA
sL/rNQJMbRFnbtt13D+sawiE/uF38/7GmJuNBogEWRl+wA/9Y0mw/+agVUdc4Lmuc14x/jdLwq9i
OAQavIJEsxchC3FD53f1e+RmY9DTT9gOnFDSFeDw+SV1g+k/JCH9Kic9vwx2OtaeIEJrwvv6beHp
A1LooEwF28ArxvfRtpgdM4unBhiKcZ9Uavz7LoYS7d9k2fyTJopXRDfsSfQwkXDkbzKUiHBF7MUx
CBXnjJcni5OhgrZw86/qUNSbKqiyB4li8TDE8l4bm3BarGnLez0LZ29TIF70QYo1qR3dLU8ozba5
NFcESC6XDkrA/ySi/KelmevlK/fQiyLlssPzF/VnqXpoFbOZ6nALRb36YkxMcEjo8M8iqqFeglte
mSRktJXJ5qtr7OULYJl5nhNohb5uvO9E6+KJRju0qgnWyZ9u6tu/a8l+ieT55/uEy4ONFLKHCe5J
7sc/Xx5pdTa26TnYavAGV9niQNTM/HNIS29S2AT0R5mFqeZUDmLa2padHIYEqjjXLA+keYQsn0l1
M08wYh11xMJ1N+GcpnKABJeuqD6LN4Hubg/sD1k1tKFPnTjFvppbdf/X7+U33+Lfb0YZ8gi5yC/Z
eM+3zp8+apkthDoSD4LIs0wvqXPkmq6fm2wmJVN4M7iFz6BJHyNYb77qwNB4L6v63IkDzX2Ygsi6
09M0vAWs79YKxPFlVVj+6+QUHNr9q7DLzsmRGSdknD6AUPR4HJoUq02Svyn/jJyP/dfIH8T1YNFx
r+cbgtLHgwJ+fyy6MrhmOW8vmRlRKrvpH1a+zIl3aYVaJQ9RANGaPCMnjbjqlJ1+SQqYZeVgBTr5
QbtcDVAMOSuzGp26ygb6BA02Yvq6TPnrX3+Wfzy4v0gPI4nzHENJ6AiHA/xvjxlcXmrafva3tIeq
m4Zg7V2TG/tMfN9juPm2cjPhccymfl1NMq0OuivNd9CW3aen2oFACzNis8InfjRNWULXBtKzqmtQ
6lYsFBbOpj8gNkmmU6Kq+SvSxnnQKoZgV07WKxPp5FItMADXpcLKPSf2dCkxsu0GHdj/4cZhZf3t
+HR+s+F5S5A4aHgUfr1xlEQBQ+si2PZFO14nlUuKKR8tI26W9VucuJjVHAfLmVMud10rkxO0CqpS
9HqAcBdPPvm9P//sTGL/+Ovv4V+sr/K8yCI1DwKb9K5fr6xM5gppOzlKRrp0xrrmOx3no4chZRNO
48Vfv9i/+BhwJLguctOzOeMPBeCfnp+G/QEKzOBv57kPX+1mbs5PcX7z16/yLxbEX17lt6e0pGEY
9IKytxBZ9tNGuHxJSsy50zbU8+6vX+us/P/tLkZByx7NjiqFdz6A/3lF4JbMlXJbwox84Z6EVS1f
C2ScS68T9r07nRUFdWPIIEJ9Wd9GxMZu/voC/sVHGnkh4puzX8DjP3+9AAzQvmpT3ydOLRyfHUMM
yhRD1fnrV3F/12b60uHgAI2dJdy16UT8+jIuS66ELAjtwe/uVe+ewSxkHGVnmy3z5exmqqHDTebr
fCzFPmTd0L8nrmBp5AaW/ryJmGkjqvSaOwLBzR7Y0LDyp/veVeSZM+ndqiyBS6RTVB+0w0CJLB2I
j/Znju7ur9/M7/eHj5fO89grPfLyOFf9ZtJZvKVooT+FW2ymzTrWmVyRNpNslgBCy1+/1D99bJRf
540PVSvpeCTj/fqxpUvslqG2IiIcguQingvrAMRzPCVdXe5EHxM+R9X3H16Uo+DvTzUgAtYbjkus
rCHQg9++LsOg2q0cE2/H0jyihG22IgG1EcWTeRWQAYMVLqF7BrDIVs1biBJix5zf/cgT10GokyKl
ZCYZYiMWcXDbK3VOcBbn6k/tyahiQBdnb7HbvzUkEjEnANxFqvkKML+7akv6xKGZjn4x0vMOe/s2
Ipoa2QRCGIb6ycryMfdn9mzvOjzhxGXFMDswnSrXKnegEtB9xrhgharudJtGoOPBnfI8UbesWfSP
hScfmMLqmyX48NTyVTMmuamXyt8gV0te+8bSN1abuzuMrckmXhioVK1EuoCQZ18CIINx1pb523ym
4E06qxGNTP345ZZRt/dSjw4vgwDvbcpcUrjt6lGp8baTe7RB+IUT50eckWLux7Cl0Xehh/J9uJND
6Xc7H63Dts4i8vHg36/duasQB+aoSKaAgY2bo1h1chjTTqfdn+jAJJb8ECO8A2YpzgpDNpczxtvF
oMzfxOxS70VfY1jvaxIj8nmtyuABQzGs0pZM8hWaZq9cL206nwiG9u7idMQhk83biXCliPweOGrL
3i3FgeQcTXt6nrwNSKPoezbisjD6sR31z5zT5XOG4XEHY7jaRnJ8qVKIkNXU7/D3Ebjlts5zm+fi
biw62lSzaip+VwlqP1qiVSTaO/KknhlWn9V5zNoH1ZELpxPIKNjEgRpbtAm6aZkwXZf+7TDK6gs7
aX+jO1wT4B6Tbwnjf5+cqdpUuOquL6XzWmOTfjGZ2OM+bugS5JO8bZpK3VkF8w+G47AJQCa286bP
x/mpRENyJxiFEGOSR2vkwvOjlcZqj0uouGYYnRyWiTZFwUHrWudMOnOk8hunrUJeOVBQSwF0w1ay
t9qTzocVQ25tIJVdux20yZRvj3CwarjDs/0JTHf+zM/v0Ni+te/i8dZOvP3SPNqEV6xlNd+08XwV
MwPY53Zujg3Bkj/i2EkfG5tbshXAF3wtnY1sC4eBXblshqEdYF+gB22mBPVuC0m1aJsFIMfswNvt
6m9p9/SlR2++gKEBLM+XP8nGeMO7H5M4gLoCcqmbTS9hHzYHLzGk2MyomFNB7w9fEkRejLwrwtte
OtW/0EbR4AJ9p/ssG2d4TmSBjRn59z4Sc7MlksllmGX6y46Z26aLuuCQA2vadZZMtr7gohD1189e
V1tXGVe1UQ4U9a6o71lhp0NbtQYetwi2/C3UUKG5hMr7U/gJcTBTQJ8nQslaI34EqZDyF/C3PxDk
JyF60cguhJQ3ca+KrdNY8kHo+bOXfnNfdgYTo2ZV4BlcNnBQ0Y5V/u2ibHGn04rvxNXQZNPe6AsP
cQYP1ZDu0siYNdQICEaIUMJ8ZF4C3W/1RzqMHy/p0yBSSCFCLSfbZpjgN22/BsWZ79AFz2wQ8Kh9
J80/aN3ryzHxzXW2xJDI5sZcYa4k8EJ1wwap9J4+zBv8gX5Htkq9gdxEK9vGtj+SxDhZVX7dFLVA
Iza5P4TJyWCXKCUgF9qbrEjaW9eqaJ/FlHbBTlTeM4NHnzUwYaScpvXGCQtko7a+T+L55EC61aI/
LgRZ0veqecequBP2BNJoztwvCPnlmXrCSV+axdvnvQvOBJYSAAgGWJ1L5HatgEyhhXtwSB7y8VKs
NMYE5kF6Xy9Kb6PO/azH9pSiiC694rPOGO9n9ejtjQrcfWfZDw0mN3xv41Xtj/Gl0TA/Vih/+9dh
qZyNak0dvyeUZ+MqjatwN+czWh+1dKcBLf7arQSohyK51ktP7981DrkLYoF320wFoCUERjqLauBN
fe3tyCQ9xybFFxw7IKLkeXFicjDeWk7W7jK7ri/heqgLP+ibey9o79ICy0RDzutH5nXNx9LZxZ50
t+z5PBTdDpOXXWZxJ1656mYLLdEn4zAr9wwsYBIECnatY+UXrQTHFgbsnJ07oymvFIheMhTXiuya
y7mc5QbkY3VUws9Y+hm0FF1hX5VG6d3Qsnjj4rjrnO8ipY+wCqy5f5QD8vjeSdWta8r5PkgKeWLA
NCM4DPOT7UFfIEoifqmXaH7V8P7XkVs692gf2j0wSPbC1M33XocuVkLMgLPWt7uxleGrSmz7mKVR
c5GDg1hl6XxrBwVCxUIkt3R24NPwbi9BgvqnAebWZSy0v03j0X507TS7gzQtjl1v5CWNXLqOUZ5c
jZXkv/povAYy+qWqFoCtX9lrwlntA7folri5T1n56a4uOS8C5TmvLhEBcSRMKM79SxjMx94TDEK6
C6VvCPXaVn1Q35gygzitJjmsHRUQlqtleCXaoLkH3uFj5mmrV3CvPjom73mOPX/TgBrmZABa3Tdj
F62GZcj3theBvPSC6mIgcIE1zCOoKbTEBnw8alAk3A8YV0DCTEsZjTtECKi4BHg3eyaKoST2fLN4
FTd+PHSWgo8SeEfgtsuxlvaL9IbwFhIio9vJsu7qCN7ykrVfQQ/o1S46wQm47OqHutPXSLwPYe99
17K7SIolufWLKNiQ+YadFYr4cRR8zkmY+esWH9OKdtRVnzAqT+I1B7V418WVAfHuoPYcLSe6MURM
3gxDnzxRYgYOmaiZs4u8OkhXYT9218wP4uewC537qhrsKxdRzgUg3OlqAqLw1fuZDdWzTdNHU3Mx
lu35P8VkRz8k0VsXRUYCnZvyc04srQ1T/M7BdKLsHbB5JqF/aGSRxIeX1djPFhCfpt52UVjfqzok
qLLNR9wHEzqsXFjqlJCFte8hCTOudzLnyYo5kxA0HEk04+zXI+2fZlXhyd97RuHQkbqNHz3lgI1x
SpT3vamS/dwiQ+ac2QZq1aYQvTOIK8+NH02vXbiU8FH6EqKEStMYJy3M7ACxeR5dE00x7tyCnEJB
MQSBIrb8t6RlCwoVWLfA1eE+QkM+rwqDCNyYKrqKSGzg4hmlwEVcclhAymrJoiC8+WYqaFBuBoS0
AFHS/iof8/sqWD69MH/RladBQ8/uRYes8KD18orkgAd6qVpkz0V30GJptqDIGfidtxvbDcMzg31p
zy0iUgAhzWyAT+lLV3TOLgUiuCMrGH6gFdaw7qt4Oo6p2YFqZxhQRjt21wzkc4Urop/r/ETQiXqu
p+Wk46/FC++lcR87OX6g4jrKOXnHovKauh7OdTKm7toRhkZv16hZ7Cq8LEdZDJsSdMmmsc9zWjxg
0XVlq26DbWg5VKWlHVpRiLxy6dfEeHTDg9UXxQb1oSANU7n6ukCR5q36wPc/JoNiYc0l6Ns29pO7
MpoekPOLQ+PV9duEWJ4phEFKQmvJ/BzzeHhYqrDdz1NjbWulwgMQyQTlCtvel9ZypPkKEzfxgngV
10LteZJlux665k5iTDuMtpOcFdQAaBwtt0GDFWedRDC/C3UXFDRcsLJkUMIBSR1DvzbPkH3ZdKQc
BcbqxFfQgxdqVjuDT0y2ZPbNzyDw6io8Ce1MFMOaYwzmEFL5rIsCJM2W839/E5aYJrYerdZt50bV
JVnMlr/KkOTuEF+Ge7JBB5ZcrxEkirnWru4j+WBN5zCakKbhEzOuBsAgIiRaFM2eQLWIhxsqrZVY
ycqLlzsnN+sRhPfXQNNxN4nB/uAZBi4mDJwUYKW3BA7q7RRixQGMSuiXqKV1ZacizleM04urMgXh
03H42PppUa8bp2z2OpbkJQjPOVWJfCpH+8Kt+uZz0Qkq/JTMbG+0mofFB5avmd7fZUQ8U9RFwV0E
R+899cvoXuN5u3JDQtL4lcmP81L4XiVN+qBN1UJkcwrn1OU+FrDcip7CZRgeQyInSR0ash8sLOU1
tMXpydhzhlmCRImdwzz+3cw1IU/4zQ4pdpnLcsiSa2dJ2juULCRZ5koccd0P15lTgWOySKnJlIZR
hP2KB4jeiwlkdqo4sL1ghRPwsTUETs48Sm0xR1hb5BzRoUXQBX1Wp9kNnUEy6Tw6g5M1VxdNNPYk
8jamv7P7NKSdsnTzAZgzoezlEPxEF+m2qyWvszsy7NQdsrSZQF3LuO7RD6mP05JqkiwJmrL4ZQDZ
trmsDynYnJe+r7q3NvdsZytsBgerpl1Ae3E4z5+04xPuBoZv6+FARIFTVRQ2klgAktLH9NoKyCZz
fALXMQSMK0s4ijIw7W7ZJvNdJ5ZS8JSc7VWznHFy1vUT1E8il0vpk5q0xBSH9XBdhNMdGP+Qm38s
9EHxFjC1SlWjPdEoFIxXcrSEtEmudmQR/UxtJf17K02yDWRRTiGxW3j4V5L+yRkcGqa2zfmO/93+
KFUMgXcZ3RtnrBDEWBx4yJe0xg8/jfO32kdhvI0dZo/rpvZMdi/SFHpMCzBxYy0zIrMGjyda4hkY
M+E6ZyWPRVFFthab+ryfwqA6FMKyxXMVx/33iGKU0prOYY01BjkDIKLZN6dozgJ3tcROOG9K2L0G
YVdrWTe2Hwzy5BC7REILYl4smtVBLVLcl4sgHMvKcE/gWxokod+E9fK0+0puqTPNDQKSlqVgWTQa
tSKL0l1VI9RHVs7hNlyk2pItP7uXtPdAzASQl7cEfYCB8k1rHafWb64KEfVP2ejnaywDwR82LYAP
cvpeVLRUtIG9s522qT59R427XpVskTM7LDlQZhSXVVgtL27t9d8pfaAre0Fsw1tv33RserA8MSkj
bIUsA3w3Hjl2upLdtS+T+bpvAiQkUi+IBP3RvqQblrCej1VpNtDBs00bN+omQ1963dh+/k5pSbkY
mlZ+5nkHAtxl4X5p4cwUWynMKR9SXIvGWDXEDROot76Nmk2pvPiVkRLP1VhmFHpZ81CP6ELjczLo
jhyvT1hKW2FAr3mDx/CEfuYe+dJFURjw1wstMMDiVnKPp7d8nPQ07IStkpNKpXNT+IVF4wMvDBlh
Y93v5noZwGe07hYeRjdsid7qXpjrj4ec7es5IVgIka3EQso7cfqLbsmLj4bj0taYZoAgZScnIGXO
rUJzjIMatDTsLBcZ5HqYBnIspmmOAb6HKbvkNAJecxwKA6rhT9dv5ZHuanJyx+ln74w/u956sikB
zohp5ygwcm1kI7ydZ1hCG7/Wzx0S7AsZqegy95Ls5xhWCcTLJpuv6WyxM1QcrMn+c0PN2N6hDdpl
0HsnZf3EvhgT9RyK797FWYWCNiODwCNBJLqfUi/1t4E72sVqGaGlkJ5kw+y1xUwcsYOvz4t5c82M
frZansn/HJkHLuYzs0iBWY9yGm6mOCTzd/CvBtZgIr+XeJMNU09HpxD6NMJDPnbGG1Y8HW8gSRZY
/ejwNhQmxT4YZmxtLBHTppuXd6npwyX7qPLewk6aG7sNxWvPW79AkQGbk5i5IzOuZkt3STyzO4Ey
hoYKE3/2ry2kDKQd5fnKlAX5i85yldYVwLCgG0EWteprLifabZW29rGi1rWmnCDpFiUp8P05XEOD
5jmwHP/Yc6TFwsBmZVbDxJY8FO60D7rF2jd2T2QqUBjSTrWrUKNZ9c72uvDYhG6CKjlNnAclu+AH
rQzCWk0uiRe0cmLgnP6+irv01jnn9UZIw6gBtbiKYw3lkPtwDuaGqC3ZzAe+cdiMi+sxdJWGOzaN
Ts0YvRpLhHiKguCimDu1xjWGFB2x/MZn773QeSCu5KiDjeS48jo6QX5Cxom/CjMhJMOR2MGxbVZe
FJmrycgCiaJtzdtIpEzroIqmdyFCuJ03mvGEiyv7kXSoJ1UZd2vhM0YrsqR+qgK/eEwSvdyTJRk+
M69vKInggcUrTwP5lgk+m5LAJSD49XAWiKA+Fap0H4a5jqhnSTyiBFJHZ+l7IpwwZHeI1ZGfFGO9
9mpulcibqmxvOEvu2aZzHFghGnLCWeEBQtZMOG7N4zvLaIvRnEzpaBc1hqN9vGTDkSm0JIakb1W1
67NQ3w8Obi3S/uKG1VS2eDMnF39h5BvrLivn/LptmvhCEm6zTxv4BMb4wSWua6TJhVMTQ7PkG3/s
qYFwD206bM632dTc9sDFnxwc93XnvmdN8BGhmln5TTCRcReM7faMXegJAAnWhNddBcDNDkmS2veq
+cP2IuRFNZvyKuuLxzqNXIxsY/rdOq7zEHae90gqSwzBSCxbqx0fyBpGgh4H5t5UBjIQuRrXEztp
rSv0nEmu72NrSR6Cpar2/dDhBqvoMtPQFVem9vTeD9Sw0z3ZUQxD3ointE92Ulr7Ka6OY9mFe+1x
G+Xp8I0qdPmayfQSyprWGk/WeiJfYTUy+SrIGDhCCyT5pauLfZj29IbO9AbucIFoVizp46D1bmEe
K9qa75hZ19ae+x9eXy2nxBhxI/WA7L4DPKlW6FMPNf2nvRfbmrxX28LbORCX6Po3LXmxq3Yo1Lju
fMIj8zmE8jcwWlZol8qThJaO62gbAWUcYbe+VZH/BcE92WsLx/VcA0Qi0yq403aHFzy4dJfhYCnq
u2ZISIRp0xt6vw2zg2qPveyusXz7M8U/z9JEOeyaiuxsoOsnGmBPReTRVrBDLJY4jrOMZt+o1VHg
k0vOrMmhm8ovQT7xuhDd+7Ikl4jpnGSVZA3KMqD48NuVdNkOLH+niNfCx5QdCezpcdBEOEFX+Ee4
8WfU1L5F3gW8QmsVIB2HGYpVSuI8pklJOeE70fReoxM9VWPhbUQTULTraZew5m7sEGvtBg3cZ0PS
3EPQJjVBkambduim3WDnzflwKOdZefRaGlIlrKwI9mSc+m/d6FjJR8wf8Hh25MJuROQ8CsD21Foj
3bZiJq6E51atqaW3i5QzOS+A+m9ll813seXFD4RhkjOgoyYC7uAeI19g6GxdrAtuxgBzNGY+4GnO
PuIw/n/cncluJMmanV9F0Fp+YeaDuTvQ0iLmYJDBKTnlxsHi4PNobj49vb7gvV2qvpAENNBaqDeF
KlRmkhmMMLf//Od8h6eiTzKDvhJZZ78s0pOsHKWThO8xzQnkMjzAtALsSXRSKfPJOqY8dHwLwyy/
D2OSY/ROB1mxng37ERa09Ap5l8aUnPjU2NpoomCpVybmeagEKwTO01CRFO7Sh2wc8kfTu5y2nBsU
pUE0XlZ0T3n4QFLlvzVVYd7n2vY+yRfS++GSjF+NIfdmzVy3tuupwLHb23TmzLI/ZB6P+0Lwo2YY
HJgWI5q97wElvCIUd1uqUuiVnXr/ylceGj4pUdftiYksxZmq9In5t711Mvuoy+Y9EZfqBjXeejzf
47q6dayYnkGyRa4ccfe7cRXfk67SN7zjkreozVom4haYXCxo8pWfHUACyhjt5gC2JGW7NEO2yML9
UIa/yWY/eO30CuIeRAcfXD7xi9MeJxo34iDu927VUY2FwXStOt7oZYrYGHv2xWQjzQPPbljZQY5K
lhVNuWUMYFLtaVOBvrIM5dcyECPrXEevufYcqypx8MBT+RBgJMRlothKNaEeHy8Z6qfY0N45pQ4i
Nb305wwDgyjyG02z1lZOvtzIIEGkIHQavTIv0G+GK40Oeso/jkPt9L9TmWlasdQ8nZYegC7VB3nG
xTdlLdz2PHRLE3PkJWvC46s5i8PDLKSh8oAxj/OnrM+iqLzHdgwlFy3001RYLEe87E3HltzPAycu
2up0k9Zet7GjaXmdfaa2cs0qC2VD8Wa5VV35Oo7SuafvL4p3unfm341I84PhdnzjUqv9OreYu1ln
elyt88UDYj2H4mYqLNGufHgfDX4wK9uXOo5uHaShD2ZTppAli87pEJMYwAhOHUxvJb7cRp4snhjh
cJN23Z4O1jVRaHFyQ4t9gR7yp7JvD51pxp1Xjs+9xh2q6/iJBfK+kYF/KNglbc3S6bUgAUMeniro
pM4s+ptYKXKupE99DTvFDeBoewNvtFWhRPddLemZSigyb+m89+1uU41FvVX5yCMbIX+9UHd/oi6K
XmyKiDVOGzp17CbehXMJerjGDaM2rpf+YRvbazA1NuMB5nP3KqoQbVW57ZGm2faTbkGBD8rmDTKm
HXWxZRsOjwU02Wndyj4/UAHE1ECtxrWf4Pm3J0XEyCDWEe5yL41cow/TrlLxfdLmZxJK3CyGJr1i
c8LKwS6Lw9SFgEE6Ycj70zSxPJALrA4Yz0a9sZPAPgS5KEBHXGpj7DnLXjNOxY9FdnJdYa55VE0E
A6ifGkjTi8sR5vnDXZ+zNhso8thyblgnMn8NI1Nbu8fOHtxqrWhiOY/cY66GOYLzYXTjsk1LJhIS
ZE34sPfCdjfQC9hYWLZ5zuFuMH8spCPBGe1BOJKADWmT9ulLW42Jt/c0N6gVQ6l9wwRXr5KOreKw
advlvmo+dZZaX3UOWrvzjXWdX26842KnD/j16rNDESccnCK7y8BEHvgoOXcwG5dnN7H9bRBa3obS
7Yp5zwOqsmh77eX1tHYzbL/s8vJrfE6kE/yBu3PUjidO3GkN+TzYGU7pvXJospnr7rIZayPgk8gN
VxFboE2Th8mmSh31YBbA98S4vQ8Z+qSWUfV4eOTELTfQYSCqj1Z2oVqPGzQkhxSLBCuTW/0rrBrv
UfL+vE8ayVspdnp0h6V+8LBqrWr2UGuePHqTccgiUA0uJESRX0rA53QTEIB6TMsm32MG71/aiLOu
JqdIGXGFs+0CseBvXFqGRiVySmyWYr+neKROPlx8tG/eEKS3s63bDetEi7BrYNPz7HjrwAdtYItY
8UoV9TqrnPlE9RaPnLge+OmMdRu8W6P1RtfmF4wM54Yc8R1vKNR61KR1WfTZXWKRXt+YrLtMDpdA
3zlcWF3vG6Zes4diyWmWdHo48LZuuT46SKZjGSR0cKXxk98KqHo8iAgb0hszT2uLVxbLwBJeV4Ok
e8Qvuw+bEjEHzT3ynf62tcr5SGWav85zi1KnfsywzyQUU97To9k88u5KX/Kqka/UNhYb5WugFpYH
rBxY/y1I82Ld+ob5MppJlfeFFK+4LvunfLERpoKSMq9skcEx6YAnYRuLv8J4CTZNJPJtqJb5kd6e
5rqik3nH06LYKr/TV9UkGuZRMdisX+TPlGzWpHDbk0XZ/YYUbnHlkcQ7AjSixIVniLNeSCHttDss
Z4SW/rgkufWex7F6dujuuqoYkg7aSojEKT/ZUw8M9r0HY2VP5tMiN3NMRzuSK98eVbFOZHodgTe4
4x1ZcKV2u7daDdkHvCK09CReHn3fBpkyM+80m5n1MQ6GDarxCn8j/8xRSX7NcRSaNcsNUs5i6PWj
nEp9dvO69c4iqAYyfLLCu2SNZusxax2oCWODvuTibnaSS76VBCfFz0mxbVSPR4UYERNw5v+KCA+d
k6bmIiJ9RJvCHvk889EjJccSM1iKp6QrsZBYWKgWXd9YtfXkV9aXg7XzV9lY7UNt3IhQ2pRebrX1
QEF8+iysbridTez/coC5PVjzUG+y7H5Eat0BpDGvea30nSed6ZWmoH6bYUQ5OXUarI0fmVeOlVeV
F87NbF3uB2OZn0lt2qeq0GJfxEl5F/dpvo7Apn0OQ6R37WjDriuHlFFFcDpgsDowG6bxum1sqoGx
f3jHwtftfuiC5a2MWxqq+3mxPwhBcx/TjYBCzD35lKVAzCpXocu6VUnVAenPmHLbdeterBGVCTia
4gZ+u0L3Uf2+c3xz1dA8RW+xlK9eWNAoHPBdlaDdSnmP2JqehqV3dmi2GX+qP+3qRuTH2BTOXeO3
eluGFJxaSRWcjETSyKrvEb1GTTwzishMe67RYbeagYEBsqGhIdJZdWgVqrEK4rcgST5xKX0FqK3r
mC12GskdtQHputUq2zdt/ZWrvF5Bmd4TyyZESa9ak8/uJimHa0osrke/fp7osAymxadigcUQ7FfB
3jjZ8pFdG+kSrfTlsRiaxxm2PI6htU976mHOqoJ4fooDga1QD92IRVZgkHtKTYmabR0W0V4Vjnsw
2Xzttqjfs1RshPgjD5oau53bwz5k454yTBqT/fZh8O0sP85uAki6jzb7r19excRYLylSeFnL/X9b
amAmHav7rZ/38buVJO4NpUditwRxvq90qp9+HHP/0ZDP/59YsoqP819sg5v3/v2/fP2kSM7v5dd/
/6+nd+g+FIK+/zULIv/+u/6RBAn+doFBB2Qu/oyA/S9yZ+h6AqefEPgLQ/yh/0iCSBJgDJUXqCff
AK51/tc/kiBS/g0wuoRIa0uXf1H/LnTnP3tgFYZKvIbKweIIyzb4Jzq20qTYfU70LR7lw4wnXUX5
twy4hBDWsqL+nijjd0vyevWXV+l/Ey0IfqINf3XfKiDnMPjQgVgv8nf5p2xBnHjOopbCbBUf2q/I
9cXKuK7L0OwNMj7aYnEzLjskqlZ+ai0PkNGngo9WAl1I6ubbpWiXQP5ssCJVeRC81sFcn1DkbWhh
6eyWmzj20Gd5PAd3btFSJWf4LO4cL8IW1WE9WdTgX1mgsnexDpmLqplnKp0YOAxUdzvGCE8QMD8y
wZoKfWuXkThZMxFgrWmrh5k6nlUPqUBZOO77ZGJOnLrswZkkQbBpGpwzxid5VxBoOPvUmqAoTrDV
nCD7FYcBXy+aJ70n2lbeg6Pe5k12nTmZvskbXoopXCRx+knMZMHzlN88zpzk7MiGD0dZ7lPva9z1
2sj4FoJfd+1VpcfCco5Wtko5qRsbdRUrabZyiix+hk4XPihvmLZYpRpAJjXBeNvcz3XrbqK6T17B
3Dgw9DrX2gG7dOq1M1jB7Wjp/juaiP9yNw+7eB1nffhJ+69GOx0VfoIuFE8TJk7+FbKd2kSNkzzo
ur2A4NyZ7WVh43xalQRd9oEIkpPtCO6uLJaubZe524GqdJ7S0r0V6cJm1oaldddatCYrV4vrVE+4
h5qpupviMYbJGVOVisbGQxiXJQVcDT63fe2a6XrIKG5Fu6BTm7scNcb9cqqmoXlqq8A3POE05DsS
mfWzPVmMHf2lT87PR5ri2VeH9V1sO2TsEzdngCtmGOubAXAABK0m7Mn0GvegBFSmNfaV5bksbHwj
q+jihmZkkf2EaBvMt/y6sUXJquSXZ/me2MasPrBe9+Fdoka0OzFYsbc2rHfXHtbKo9E0jq+Cqs7I
RA2izleacCheVlLYXHAa79mbEXC2SzYryoapsYOz1wcYnzuN8F7zKDhG8AwQxymEvgGU2/9uK5s3
Ut6KV4Th5Av2S/PBK5M+6LwKb30YjDlIvYJ9OYCD5JUneEo+xcCnsblEuysl5HCH3YKvstgJfQTk
Pnvab333N64PDTU3U9M6cgd84inVmtj1HDlv8S7atEoU86NdL85DJQnwb0Zp9wsOiBYby3Jp2sGx
CWUhi8fmfohk+FsHdfLSAUoNtm7Q1Tg6ihxjZchFcujxfvnGyGlLknt6L+teP42QXYH/IvK+t1QA
0U9BjGojIVh4a8UqFLKVbOWXpVP5mPRN+cz+LrpXk+O/Vqaw8bA5BeAMe3Sw8UQZMVZXDrAJiPSX
j7VqAcnNBvM/baYNUaVM5XqjHVPSWpgEfcbrXuA9VpNvk0RVatkmgtyLTAZUWy6qkngb4vfsL8Ow
T+hJeUDLA7oaxqI4LZQPy8tuh1MkZ580rpAsrNu5mZFVZB7kz9lshQCQBBL8WlV+/SEE7Wcbcobl
YWkBXa2ws/kzJ6HtH02V8vdR5uIpabIgu7PKIrmze9+jpDr08FwvlRzvUywfz/xIWfE3qkRDCRq1
jVzVPcaYbzZu444YQr3yvoDusF3IzqtVo6b21dEkKn4IbW8jgHS2jIqfKKtnQu4E1fB0MW9YuHWH
OMtX8dT06Mts6wm0i5HS537iO6UD74ri35lVYJCF1loOFcfCEMEn3OTWMpzHnnhvIboMKZFdtiZY
EqKl0Ttgv4H0GLw11TkeCrS0KsZ1xsWbjLq4O8sLmqeAgC452mjwg22E7P46oth+tvHCVgE6LUd6
SsoPQccmLoUFO1loMgu6OT7KiNXdynec/MwsJJK7WuDv2nKnda7qQUGw1oUDrm22qHRazWz7m5uu
LlM0Fchq7yNF1tGakaPT28quQNhV6GCIgj7bHLpaWWo0S0xKhnpVd80bp0MnQBzAJFKD4cMCiY+A
LS7wGjV7ml8iPcTQqcNRhGOJPloIjFdhdikptoPohndS99vHUXZDGbT/zMBaXg3o0aeFy5/Fc04V
BwWer1uBwZpfSsChBkNaOp5JBAXVtsw5qam4plt0zpMW6LTn+p91pdTjlKPdpoTUUVy5cuP9Mn73
PZshue+UQ1V8iod7O5CHPgflKPHEsCBwsEu+VHV8MckFdbrOfB47sSpi2ojhZJd2hRzoG33CdYlp
kO/8HZsfwNeEqjNfeCBYuUj9Qcd3cXYjo8etYTpgBnFSmHl24/niEMWzoA0K6PK7iGdEJqP6fL6u
1VxI6JkDIDEHYAXVPkWacS+faLBqJH+3KUrmV2dx1C+O3+ZuQqDYkxKb36CPyWsYsxNmJ6inb7Q0
gnGi9NdX4FousJoBZJ9Y20a2eLLnnKWMskT3ezRef4cfcThHU2TfCV9jw5tHax1E6fLk8UH6YHKI
WEuwRd9NdbG3ke0aCljZUKw6/G6fC9Jis/Za7VNAh9yDS0Ar+z51W0OSXZqjEXZeXLdoE2+eSZLv
hc6KhFqsFk0HZAX1HiZLFhrOe5KL7nGZXNx5dRwFEEob9c7TJb1nuEomji3sVxNO6m4pNnXfYDhe
tTr3b0XEI3/NzO5ODHoVzgbL6VyETeNtJqfQfAgYeyZtZe+QdKNzPdQvOEPQjzqSHkkmQR+Xek52
XAxAqpje8umyT1zFzO4k47qdvUKty8iF1JlM+DBLXglZRnO3NcBI2MLawUdr984JUnQAN4bKgm4d
AVs74PdQ18aVb4Tm26d8ctw/gtwOC2I3vM22oa3xmUqbSwJLT7//pusXG0tr/IFCg9QLHoSj4mhn
BmeeUcxjnADJZDI+nQ4QPtyC2PSYOEuD4zPIIJRDfLPqkxlc92XsW95RJRYcLkKFy0Mf7evQFQKk
IHogj0se8PK7A15Uc04X8WvaVaw+LONOtyrF37gRczlsk5TA6wr/gSShMZXzFchk648o7QysHnzl
sIMJTayBN/a/nRZH5opac+t3bCmQQ46eM4x4DqdAaJcgaCS2pEdYLngA46HhbuLKZXwac5Ks6xmb
qj7OEYuDFW8BZP48y+b4BtKf8yCqYgl2dFCPxSpdClhPQM/bY69s/5OcD9tFl41TmBebrm3CtdNL
tcNbm7yME42EngU4H1hoAswMj9lqEHOHZ2cKQPpVRHJWvbQ+Zhk3b4L2794DkOTSuZeBqVvFfVDu
XNo4LzEjUgtLwxdrYvvWZAGrOXWpOsc/S45o3sCUrA5x6AE8numRvM8a+sBG0Ek7W3fF1g8jl0fu
EN3NkYea56OV7oKu/AgXWwKMrZ1vuOgUgg4p5LSu9sM7wFPddUY1DcmJrPAfFjmn9Vb0YfJozbK8
sc3I68eH4nlyR46rwiE0sw90Nr9EQLp+6a6/uPgXb5o3RsVaruTcmG90PfPhJijcqzrQSbmunYgW
8ZLp5tsJ8PCuF6ZrbLBgK1a1tl3EYQd4lG0l2Tq2eReyxQVDuZEUf36nFjugZmnLx3HhUFk1VdRc
8Dcgq9B5Y/aGUd9P9sG4ENM2AJrmK5c3IpfeooRdOvOkFXlC2MFzUa14jFVtcS65zZebfMkGcfS6
AmqSVND2YIk/1PPCmtjHboBjcwEH35KfG+1ghF6TEWX2WjOKVVEpbJJFRC37NKeYyPxEhb/qaFhg
+MD1Cqi1yYuWsNdQgGSTlyafmKUtXsmm5YZkuTMvre/WeMzKckcuNyc3njfiRHIIzlevK3hgsaeL
l5kmTY1N1iRfuQ8ojRrLiFtRZZVcEaWi+WAVj3b9LIxT/Bq1CD5tXIqHcYazCrKbz2jFZFzjZe6y
94yVotgxxnq3wNlmuXKsqghX+ELkKYwHroch4C/MxlUQOBsap10OB5fVBo/hur3H8pIN677kbcha
FB+NAoYSw2zrxJ3tp608FUFH5/XcueKXX3UOS93iq1qgJ6xyNi6Ik9KP1GoorQxauorllepGYL39
wBUy6ccwuErLQFxFHbYBjmVAwLSrdXcadYzNTu7iIHc9xrxharJ9CjPiOAYx9larzj7RfkWHcpzK
E1Oyd48l9CQDuIpjSwO9bS80OORYUlW56Rm+trUzIuy4xT6t2U1BEbVXo61uNR+A2xSaAH6XvsEV
jIsejF4ICnrQCWHBPiddDlkFM0e2ISBlaD4fBRmeLt1XrazuMROVdyVg5k0vuTXitZ67iC8zu8V1
TZXB1mJpswKEy+ViytQtuBy9Q6k+EMqQ64z7Zazz8a5SnXgWVQkRyoVcjalHv1Q44tZ9SpHDQAPP
NmyyeedV0y3UX5pMbc8oPMhTeGR/7cJZxTU6cEKFYhNGbXqSktqwukuDZSu6ojrjcoPjNOB+WtdR
iIOSw/sr0P6+xSH3jQs8v4sHFMF+qMK32hqCK5/t2avdqvgTyCsWO14g4uo1v8Q1bAubFE7+lj8x
t+4W5fg+qnjDXmxIdPOr7HpxgFWGVW8MZ1b3ZcIeiraS1RBazcFXyfCEdJn/joxYRlYVs/U9GL/S
v52cMYgLQAqEtYpgKO+7DJMyJ6k9bcDExwRATFN8WrLvrmdCJiko7JAHWDZdMOOymfNxVwzcJvMs
CO8BhlAgKoPW7Iw3Dsw4omHLYlj0R4yZ3BQ2+eWZiW0UWJvTEDjB5OSM+YY7kr5qfo6dnm/trVcu
Cy2SlZHYTCCvI45/e/EOkBAbl5i/g0/brjXrx8Y3WA+cSqrfPXa9r8ajzHXj2mE+bwIdhMdwgId8
IEamY5CaCZfo0SnUVxCz1UhRck561OMZjAR8OiESLqZGZpi4SpcUqktpMiZml2YF4zgPYHgHCD2B
4EiMApwSMV4+IpWNZv+UQnz09ilCNvW+RTXYKzXY4tp0DRv5fuD21AfQkXe1NfUfyNlBv/9/onz+
5+vaohmB/PL/mZRzeO/m9+rfqqN//z1/orO80BfC9z3JwvmnLutPdRRtD0GF6DXiJMPHn+qoI/7G
1lUpKDYXaZRKnj/VUXrhoe5Qv4W2CAGG//M//uXjr/gY/U///Vf+CSsfMt5/FSlZLSPqMSg7rghC
IBD/NgOeSzuxKTGosLwihhHbHv1diRFyVy3sqOHXmjdm0OJY4U/OV2FLhNqbiEgJUBGHbrDDIyXf
PWh+/ozN4Gfhc20CThtKfc/LItyn1Iv0DUsZB1usk/1Bw4JzJt85HSv+eVAlQ9AaaTmdL4t49zOf
Fps+kBYzvaJB9hd2Hu7EqVVW3xiM7JsuUMUvQmYj8omwr1jvyTvdOpCu5qHa9AmokbjhHsY6PXsu
Aw+LrRVEzwCfGamzcpfOzAmAbYc1Ls5wC28+WGVZj/zg86TzQO6tncyRR+qAOFZiKPiriujGGdd+
tU810WZ34lLptCbfOsHE1rdHuhymrD8brMgc2cEmSDyWd6kS18i9zQ2GcutqKoSLeSIZzi6b+92A
A+hx6EV/g21s2Wa+qs6t7epjXGi5ZT01PBRV0h9JHaO6FiT7cuOdI47tM72mw76dTPgmMcVwL2Pr
F/u2u7Xonb4tCqc7eJeZru+ay927X95xvuKVTLNmVxe1wY1wWXnRUrWNut674rFvP8Gi/K6qviGk
3nd0oExlPr6Jfoqf+wtHbU4i/SukUp1qX5cdjBtcmFzcHeBzzcSG0qMS5tKYjmv+4pgD8+X+IL+C
xZ9+Z7TWu7sc7ONdFZC+TNFPTiGAc0qaIW5sXB5hKb0EYbiZSRfiIrMcGh0sNO0a3vJSXWM/Lb/l
BVQWDdLG3l9L79DhO7wmfmpto8lrHzHVF+gWBP7wZ37zjK7uoR3WV9aknBvmmXhTWlX/wrM73nJ2
mxeY8ulzLZBMNXdIW2XNKRtG+5vUkrcqRcYFKjOtqRHy5unetrPPBHS55/nRTdMtMJ4mPzoRXvc2
ZqwYdXsaEyWeYMfkOHCw4w3QQyg6IEOdLnq+mtrFvyWVuSfu/TQllcRw4cfD9dDa1XsHDvYw47Y/
xGmQXHdzk2NdKbbM8dGhtjTO4cuwf89tq74d+3Fm5aimKzonvbfE6VSwzZfBeiWzlz7HTZEfq3wc
fxOOEcg4A0GzhJBWrYPgNDqt3qQh+QPl3aeTbB+cYSrpi4dCnTlt++xNTrLvauO8NUMTH5fLuMnO
McIIX+McvXFLJ03gZrTNOdbQ/1auAyydbDJ2eb9rbmnR0Hdp0DQvEZkAvUpKYbhC2BgvBBaJXYZw
TpBzztZR6coHol8SWZ7T4dZ2vOnQTyA6ebqXoOoGW47PEK38K25ZMxZKq77BGNquoKfbt+kS6Jum
Ytrtk7670oN/GX/9jHyrahqFnhSnwzYqevkV5Z38CtTcfxnltTespKZuQyRokWvPHqi+rCoi9JXW
9ABTzjs+QRKsWiDDgaCXyDO5v+H2w3VuzvBeRE7mnVonpPnDVIDr7Mo327pg8WiilnOw9nvhbRqX
C/m6yrAv9YhD6W7xreDcBxJvOflE5813GfWRuhEOaSUm1gXWOrbQ5Gka6bmrox4QEBiT6x5n8Kvj
JnG5xnFm7idrqD6xvl4U6iq2f7vY8zx46jp5mxBCXdL7OfOpj/cEqAJId/8NB3bPbZ2I2pMUtkdu
X46vLfee6opqJIfkh1UjZI7Cq/Z9GbAHMiFzfVyTRieB3/ivJvFKLq8MC3eigaTg1PPl0B6jmYNx
IvK5hoA/7Yw9zGYf2IJ1UWWH1ptKJsRsfD40WsFbnaYbxV5DHKiHZ3J2MOeexwLawRb0FIwtGB80
V2hrzLr9XAUYJUfbqx+xK+FrGDHdMfgiSP4huoXdl8EAlpzIr9j9Y5MI6+R3S7kz9JZS/AjQGkZU
W86PImb5tHbt3LylHSM6HkSMOavRjG66zRF71rmxFBkR7dGFHBUyY/RyyNLaCPVXDNrqKGWPMq3R
6L87S1UvmHw1tgg9F2v4FCO31KktHtLcj14uLcM3Reh+E9LrSMaFD+40CXzTXuz6q6mo1c4IuvKM
Z6bfM2QJjHFmUL+5jZMuj1kkHYWKMS+lgFn2sRz8hwj3eXAX5xFxEzZ/Essp8eVdmBE133Y+iaW8
uMCBlT+rcY28kz3hnZ5OwGjjZ+GmZGIoqdObhkXtuBoZ4L7YW3K3DccJQnkK4iaByIXwOmifueCS
t+xL4x0tq+Bz3/FBeG3QvX7NvcqhO/s2FVsSeiurIree90sUDfsITMiT0Sa5yREOYqRvkaXbSlXZ
K2Y2vme/CMorll5utVkW7rIrnTAmw8dqXwKVle4xpTYLJ7BfjtCeQsS6dSc0OlPFD85yChImltB8
g94QF5+tNYD2m9psOVcW6ydovJKaHVy2J85Q+S5kP7+MlOUeC/Z0+GepyeHsZfsDqrzgrs6b27yF
/P57PTgY7QgBY/L0POsNHWI60Xwinsqq56E3TB49HFX4HC8TmZomLO6RLmK9GSdvoEzcKW+cAnzS
qo54ZTl0KSyO2LmsQrzvz8PgzoAzUqf+beV1cwzZe2d8RhvnkSq3YFhxKlp/kBafYSBgi7wsRy+K
uh0FXBVCQ398ioW82VvDQA4u62eYbVl64ZZnuFxe+7JDXq1E9eUnbCte5Bhho+vm0X9g35rEF3oO
r+SQLYbMSZ3fhYnEBthH6jKlxoTTor50yABnyf1Iy9u40sEYbbox3chsKf7gZzVlxH6C5nnUPU+B
AQ+0i1L3kMOAx7/v1DQPxu3FS5TDDLu3/Bw50m4t8dyAvGenaVz/msU28jvBHuq++rQLzbUf290M
+Jvy9ktXW080BxWJpyJCKEj1JHqNFCvxEsM8y7uCV5UEavNs9KXSY0xD0l0pP/cMqP2dLMrlZmFP
y2opcPWDkUXzMAbYpfBACnunOhnwiQfbCndgVtekYJ2LTNxwRkTe7B+s7IL2R6QmvjPk6TZbRM+N
VsIt16xbb5X08HLFQWW/LxKfjEW87CLmaHFW3cQrEhZ5ey3ExCvUuE16kCSQ3vO0cD4or+DbisOs
fw7JE/H6JnOy8V0//gi4zx5UYcJnuunrfcICjMOvt8/54mQ3xeyhSUMkWvbZmHkHnrR4DEsl6T8s
MzH70CV0eB2BgjhNbs88vNCTQXI1TfRvAktIaEWlne+iCcuvyGTOlRdZ8R9Lb89YsDUOPqDLKAqO
OM4YmOe/eyD+o+0y//mGRgXr7P82NJ6+uvfi386Mf/8tf86MxCBAt0lOp5+G239lq/ouTGWHzmbe
bfY/BsN/ddTYf/MFKy8oa07gUz4POewfjprgbzyCBI6aCws1BFf67+plttUFa/rXoZG2aOVJGvSw
72AQUfxd/8qVC01mjXkumYAoUaJgBCHf1IobQMI3dF1lmB5I3tgnBV/gQFK2P3JAUAMRlGFzg4ey
f3FH1g9A3JPsVTWoiagjVX0sIgmKPgxy0F4tLogdTQnBrUh6FRwHpcb0uvPa+sNdPHPSFaaQKyMU
O2lTp2bYxQQQ0rW7JCrf9shnhMPTJiOMwOSNw62IP6vGo+wtGALlbMCPd+TwCidpV/MwTdVpxJLx
xLU0g5HFhunaW0R0WjRwl6sgEeqlXUb7JfLt4JemsPO2Xnos08PFFwKzK74agLVerMaJJl3HB/rK
lvlyBo9FVwau/BSDBTG04cpm7SC2hDeouFNzYj+Kis3bLs/DtCDWv5BPymPJ3WakJRk4T55M0W3i
Mx9svWQxhOVLV8GeaMdivFVD6etrGDn0MtggRot1U+dcMlhjTZBA0J7hn2Rl892OU31tGyvVW0Gh
23U9Z8KDv6V5GirnspZ1x2xGr7d5EkS5Te0iEn3Rr6u0v9iGQ4t7gxqb/CO36oXyJGmK+tIHxBdw
Y24HgkXFbW5FIT0zvvuL/dNwmKNoPrP/De/s8XJ9o8uhm7Zai/rJdhyqBsBVTdFexV1+RayasIU7
dBPDeu7fY+1QH2hhTro1ijQOvYMTL01A/p4dbqaKrfG0/QI63rygJrvDbuSCE6AlMG6QAvJpB6EF
8RG/M3m+LGhpyGtY64xHd+qhVUe0n21wxKK2eT/Km7mIcFxC6oN3Eeb0j0Y3XOQ65EiUOzAfGI5y
0puX0qQE6R2RLzZSfbk/yl+0eMjqLPZRBHW0hEdwBdm8aX80Q3ORD92LkIixGU2xVIL+YqjhxMHU
j+44/miQ848eOf9ok+ZHpzQXybL9US/Z/ukrHSxTvnF/9E1IZIyqEDHMt/pRQJExq4jEyUUZ5VIx
coG9CKbRj3YqnCq6Ly+Cqv2jreLT4DM4/miuGOPQX/FYd9dtofJP86PP4nwgYRN5pttgO2GRvsI+
Tv8wn+jyMQxTiEKsrKgFwwhtsx9jp5A9N0t4Bis4bRF4Rp87tQqbk7DbkLejIibmj9lBaJE9V/YI
Y6Wal62fust1HOr/yd55LEeOtFn2XWbdKHOHcACL2YRmkAxqlRsYM5kFLRwO/fR9wKqe+fsfm27r
xSzGrM1ywUWSDIZw/8S95xbsWZkW68mO9DbNR3+8nXHnygcCFOvXdnR2cBCck/SGERG00zXZ2QVD
8RQn2b4rzDwAKWfRfVW2q8kvz7xb0eMgYTZK/Bi/AAYd0HHCG386dE839iDxd9AZlP3ZsqN8fvXc
gPtXz/MAvseZJ5Ufhh7vFLvCIUO0UmZ5+jOydPI49pUiEgdZ+I5tDjyTcS6q5S4lJWfeSj4y/SH0
GiV2rDpAOGzCsCMeToVLv2CKYRVxaxEc/trNHe4X7XQeY+2JBVNGpAb92snqZo55QpYSJFxx7hOf
ZGn9WU/NdWVW0ofIAfbgNUFJ5bBtJaeQypW/dvMvXkMwdd/0ek9qSHNv7KE7yobG+/vG+u/L/T8J
vHclONr/6HK//UxgpxtGDv/uhv/7+/664QPxB+NJ5K/c03jf/zHt3v6Du5U27P+cCtv2H7h1BDsi
x3ZChKHyf93w0vuDisDjXnZsWzky+C/R06Xw1rnvP17x35NqdviYaxRIdp+/+B+veLufceHb1rSf
u8YeTrAj0t00YG4hUQYo9xoBxk7RD53dFK7pvMH3IlJ+7yQt30qx8WUEhlRYiN5L0hbCCx8kVpWy
MjDltJLrEtq58idYP5v2eztafG9KIwsX4IPXpumbhbMrfgJ+NdYPzMgKxlZIHtEVuRUnW1upyN65
xdi2OIybMGCmqRgXqIG9/CYsbTa8f4kMmF0htgR4EN9XXSz/lFnt7rNJ2ci68j680usOmXbDsi89
UzTinZPRZYSbSgaqIzPKG5zBLKa9dUctCXo+d8x3gl3r1UN0ib7X2rCFRP6ImuMddsQsj9A02Ilr
30a1M0bEcE5pwkkE4NHNbjDeSbMlWYFFu41eqt2xpXSzrY4zduyBVapD+72nn21oUlBFszS7M45A
aon+8EVpemJLODOJMCYYihO4wzE/t1PTYzWNDTWU8lcj9GxCohGnVXlgdzJnmSRcotS57XfdKlYY
V9kCKZ/1jWyD5GFaBQ8G5YPXdmggzJQzLc7DEpZDSOO3qXsV4KIv0jd+GpriIW7vI4+s8CuvaNBh
LN+aDLbb7iNkwCW+XdPuIxSLvRtuEKSi5uC0t6bDWCukHpESxLe5nU8hFPvIe7YCAKB1ahE1v2HO
GPtj38QRfM92msOt961BCZgG3VfTJKEOBJFhNCzI62QZCfiVxrSRJ3SoqFsMYuLwSlA9NdfIVJCl
UPT1wx7OUnWy4YF0O+nA+9vHi83X3bekxjhJGh3mPB+KKwGAYN4nJc06kZKNstnXNROlX2IVBNwj
3YEEp1/KpEY+FbftV20iOZ1519Hbi2850NBSQmGtrhktYAxcZ/ukXTEFXtotUQFDiZKQjOAsE87P
JpT9dMKNRoxywmQBJV2IUJik4Lg+O2O3jtubNr/p8Kk9tKl/TxK2ejGmn6ptF0FzoRJJzsE4Iq0m
FbAhYzGTjwgQzA/gfOo69PLTUNuMTrHDB/ZTROBGAnSQkMRnRmJow6TARbTtYXk+pZWzfJUJDfXg
iZZ5Ul8n8q7FxYPurM7tcW/DXRzwdMTlLTMoLIITwZ16J7Kh/CBbUt9hKRJ614bN3OwiEeZ4+T3H
fdZz0nAH25DF2MIETrcHCendwL5OGJjGc+rDD7Jied07nAkbE5cuLHjZI4pM6pktRlamP7qwBsHv
z+RUKxlbpHI25MLtamzdbCZE9GotRXRcmH0CZ6+rr6KxYKC0SXqII3d6Cwc+dpoMIv8odVt+zEXM
5wYXHOMFPLlb1y3r60oUw7MBj0lu1kwgZQou7Jy6rnOP6hQNgBs62akf6hKeLqMH8GyDXZ600O6L
LHNzbeZx5ZvZSbgHMlVED/mUQi/yHdQ+x5CFCIPSOPk54ZtiRok/lIgTfMS8PQr9zOrIuWJnvK5R
ioqJJ7pqspEiXxVfQAHbs8Pw00E8j7USfXz1S2OlDw9DwUzqCIgnQJSG7gQZxEj8HAucS6Jr6ypy
beRpQ1wX41MzgpTcJsgycP+wUGY+FJYaaQdm0/OgmqI/TrMD9N0sJCTscodws+1CbpjYegKM1QA4
4Y49dI0ZDXmXjCO/egkyY1HxTHxQNiFizF1k1Z63YztKAHppzc6m4NA/eu3I2zN5W1JL/Oz6Qu4D
u85QuOUt064ElK1B+cYRvq4s0OuuHUaqTwwOkVQaeOcc+3ncnanTwuqZIR49jAS1vB9cHT2WsyWe
45mUuQ3Rqj75pJ5Mx32By/RB9JHv4pKwmScFvuda1+5iZ59qiOqBxYvo81vXiZZtEHPkbIGNlPvG
ToXaLH3b30NAjp8Rp1TFbogn2a3TYBBD0iPxGfAHZBbmS+H4EtLELZxXMo2Y9BAqhODYVQ/FpC17
iyQd/F7aw7jaAfbmgdhe0jym3/sRzgb0oUghFABPWlgchAEeAp6KVO0rTrNwK/10us67VJx4My8W
Amm8JNNUNylO9RCRoQ14KDp02gtPFVSeLzWF+o1anLEcczsGcDpdfhHiBZOphs6NQDHrg3rHr+jK
LRur5UpWbp6fDDw1+tl01vMWpKDt4hten4SK/awY8zK7N/kyUyC0jvMJzmSVp7JFeZ4Zit/Wohnd
nconuNtuzvAVGzAyPnJEy8ukaihbQTK8jjNSlnymMD8ICwdMVooAVXqAYeA2D5f5eVhEwJ4mQ/VF
EYyS7wTHMfjtj+58IgtCXiIsyytxjZAFjGE5voRqjJeaHh+IrEynJLqDTkGktIs3PLyfUdSCKRv9
5BZRaPihvNl7IOqAZU6WThu/Kx97AG3XjD27ZBch+zk6HHK7KB6sU8YEclVU/swaUuLShjPTFiZ3
frC6CQpUcEvw1qU9RKRmiDBZTPUn4m+ZbLG05FdiWvfn6wUg0jh7mvE+bouxz2J2nmW2HaDHPFq6
8s9S+8I+Dg7dVhmrZFcg+N80Ml5tfOSfIzjEHbAhAR76rPZQsvrRcrb0wvRZxGiM3ALt9Y9EdvGN
GvIRqg3w3ImmGCcJYMBN0oxsdwoe9DGL65FhBfaFY5fE47WVjLG7FUCc9uR8zD4w8NS/DJCqfyGJ
i7/cUSUfiZmfLcnFCi88BnTrD+BO0qlxEaMrsVB6rDGALWfR6lRc7OHKrTr1U1tJI46yKmzrPGTZ
lXQRtDALCR7YgmEbzFP5XCDF/gHC2GAlz/Twpwr8aqQ2yO3yTnUJevckGy2EnPaS40gJoEUIOdYS
+VQ+/YztOPwa3SodXmt08ulR1bL+0p4j2ocxsskXsTPGZ2e3pGO7SUPJ0xjHYT9v3CFqvpwYtAXl
DZGDVxEKWcXtnMP6L2TNrqaqnOFJiwDlUJpbCBtDUztXUKLL5dFp9eOAcbs+e60e1nSAcX6gfUMe
DrrmFl1tekq92YhtMrX4RBOurK7oSnRqbjLV2zUKkmzwQHX36dImVyVDjnOVWekpCkfnTrhugoui
G+s9qugeKXFT7ENRxNzl1CBfqACmF6/ykz1TBnvn12jiOHiDV8uqohk5pQi6q4BIs+oTfE3YHDlo
w2cAh+5XP7CFAGHZVnd9aPRrPyFtzhB9y7OTz8WNsaE2bAsdyzdbuPIVI7V1MZ0HTasYYkSS30F9
XrmG9ok1v2+aGyITnLxxf3FBFjuuLKL+sCE5b11kPu1WR8l2GgoCAWMbzQHyTf0mUw/en/wOD/TQ
OABlSufqVcd9/Dx+Bw0GijAdQb34NP6VRNiEpBISza234XdUYedCr3Qt8gslQYbgh+ZPDOoK0FDy
lK1ph5btcPJ3E9lUZ41LUJ3EsoYj5t9BiWVR9dkl/Q5QDL/DFC13DVa0MYosB74qfc68NXxRyDWI
MV0zGY2v2bD1aK2ezXdoY2rH9lOarVGOtstVnsx589jOJoZU2CxQFFD1Apznmt9VS9+zI0/dbWgc
xiOFcQ62RVWQEiPpfgdKNqsUM2mDDHJYxoryrdQN+AB8I1HCxqhdQ9EcIW8btCj37siagBDrzdT3
6V6zcz2zYYRrJ5TZDgasVT8Cn+4NgnuiKn3M1E7ieRc9hd3jSCLPMSZL7r2ZvADCyspAc1SV1+AH
Q0vtyCBPV3ZewsyKqZb1wUS2t86AdrCn9U7pv4zOwKwDZpF0tmU74OkpAh8oIRftJXbX5qz2DdZj
E0JdTecpKg4100BeQm/5QE4w/rB5FGqXjYkAucvz3excpzFH12mnHyTpodpJZe7epQmeJgpcTths
GSjW+zY5R049/S4jPR8UkL4rchuW9ITfzb2laQiis84a+2dWN86ukLQzO4oMBHkJ+X7omkH7/Jjs
1RkJx9C1t0j89mWhEdqFvGId/jknz/Z8mFlgjks+/OTjq25MXuAESqTgdmeuG58iYuib3ZAUh1EA
mGNJ7ZV3tqAY2kdapPJswiRSBzpiAb8otTK6KtobtaXJXY7op+wfXscFtl26nv4VeaS7WnIYxtEo
hWp+aSODV9piyUO+sqmSr0G3HvzdXn6UU8UoLvHaU95wzC82qtaN9+1JJ0Nw31ZYXUsPKu0G2K9G
soNpAMaxrcwP1wLEGvuDd1SyTV6RmRYBoJ8myQ8Ra++Hpe1qc9a1jVjShNHKul3zzgJ4pWzfxxhN
7GDH1DVegqI1aIIw2cZdGn6lsAOeyNN9ScIQq7mXKVT8FRuzsln8A4JfQfitCM7YyEmidXV11UAL
vvcH4nubVql2z91cFPs57SGaR6PcOG0PO5NAcfML1qPqDqEddu3J7yrAKzLpvppuGe5wqNb4HGzB
XM2rYTVs7GkWn6gfxA6IhfwTQfLyyC4SkBdpGze4AxW6/NjdlEk03tYDQDE/ZKtYQKpA31AOp9xV
vwxhzPc5W3k07xXuzoQuydbiaLKCindQztuyJF+83bCklAxle5V+FQPLRkOAFOysgOc7o0LGO3tx
S6s5l57hAQ11cx9wDR+QkcU/qCngx3L4qSc3/0Sm4e3xu64J3hWQcFD/e+nW3lVeieYJsqY4tgHK
fA7OXV0b5yjTyv/qse6dItG6V06Tn5YqYBOr+jzbNVNTHbKydZ5ayN0g3APxM2zd6hol6fiJkhRl
a5QjbA+7WUynAjBDvOeQHH8tDOABbeVS40LzgpVeTtGlbf727TBa+tPLVTDvwZN6ZBmhP4NkJfc5
UuJjthJ5Ghw5vE2a/H4MnPmiUIO3Gw+i/M2IiThEptstv+fMMEjOqSC3nlsGz7On1M1sI9tQMPXp
iQukw00udjaV/O/Cmtpjy9x1vUzedYhNGG6l198axSHaqazOtg1rjehY1iHrZjkfdRHABOiSCR7Y
qhDMYde9UO5qBhQA07bTd8+Bk2OnjZf/GQANw2dQL4/4EZYPaMLqsaoxY29IPjZbxHprCrEAQZ16
HJdMbo5eXVyNdtwck0Kquz53kZGgoIfn4tUVxY5VugenR64c+513MxT0p73v6vexFUTazFhwhOd7
jyhHupMu2+kBzSCDI5GUwRYJxLtGYfRODHyzAzHXXhA3yz3zcxv0G+aCwoy7pgJYTkXj3ZO6ofae
n6bnRpB648z9yZn8C3L+cetq372ePVtSSIULAnRH4++DHVZgNMGZF1v7gcv4oEJBeafi8oaDKtvz
kQneyMNeFwWt1tvKsdMNCvxnXLPhcEzFMD2jSTOH0dTIm3XYe3dB7AfYzjI1346FNe45cYk6cMgX
mrtYn0HaNfb1JLOm2zNNw+yTmA8rC8SzpzSQaiRz5mUZQqq9OHfe9JSJo1/mgld1EadG8fq3Vdwh
mMQCftbTSBkyJvBjPQ8cFFFK/s+pKj6xtyFprBHcqW4pfw+zHx05H+pHVnrEdqeRdSkcjTk3Gt+6
jIu1R9iIhRwcyhFl1YDkekLIV/iXhlwdMohoB8DqEUzN4Tx66TU+6erKF23wW3TOvRVRdhs2ORRk
0XyvXKLVJgb6W2mIFloHJxm2rGOCaPRKTQuzqble1KuyS+8DoOxWGAzsQ9yn177umuNMv4H7gMIW
Y543/1yQFLzgshV/jm1v0Q+E3n2/pMdMeUt3aaw5H2+Tgd0kPys5lUvxSwO6MnvSzacTpff8ZxJk
5X1uPPuEE0/vW1GC0xb5itqcASMEHVxzQtASKik0SzblMPl1uK9IGMRTOPYPwikRC3isSZPivzUD
f+E0/pO1AhFcgo39/11oft9X2efPf6Rw/P0tf2sG1B9r0pvDvgfuhPpWk/+tM3fQDFDXoiSAXazE
Kk34WzPg2H+wa/D90P8rjfUfZObhH56Lwpxv9HyllPivJTQH/ywZEL6nUCxgaHY9/rn/FHsXx4AW
U0zEx74fzKmVef9ZpYreI3Cie4eoputRC8jYlPDX1UC175VVfNVOQXbNJh81oucBfa1m7ytsRQWD
x7cOvhTuzh6z6drKq2TP7FhtWs58OjxIrMSFfqreva+zdIc9ct6oqbxGzsYokTzEjV+TeNWG6cWZ
TbsdlvQVnvQXeeqof7zynJtGH+G6ydXonU8H3fT+liljCmPfly+Fl1oBK8akODuLW91C0VnuKumX
vwCsMhAOCIYm3SY58fvGOxZyFrQji46tUW78agsc3yDIm63LqpcpaZT/gCDMOnnhtxKngMMS4VDz
NQiH9lnX8ZtbmvHKqtZkUiUZDlflQ0Ny2ifpdN05k3N5NbYBkZRWEMAdRcK7MabGH4vusr9Pimk6
Wbmqrut47AF7GI+1c2UzDEBH+4JvkBN9ojAHt3oxCYYt+OX10Sr9e9uthhdE6PFvXaTte6pG96Fc
NYSgd0I6GE1eUQsHmMCM9GnISht12/yK7lTfJ0zAnnABeVfcef11V0YpGrCgeh2hfnBdCNpFA8Gd
t8aW+yT7ZJmaXtBY0+3qVErqRVquJwLPyguQVggqUbDltOyBgij9riiN0IjPzS+1RH8S2BMsOz+c
3hKM9XninfvezvdpI+XDQKG5TzHE3mf+GL67ampucD261w7VEGTfpfhycwGGM8f8jtgr8S5z5VgX
ZtyB2ZDa4v1iwaqPVA3Uc1NCOEfCEqgUboR0FaIvdrNy28lAMjqz7Fs9+7+j9lra707Gb16FOU/G
Kutz4RmzW6LK95id9M0efw8Jn1SDFdJfWQKzUnV+CZPFHEPY8y/2Usg79IztNnZr+mSzzJdiDqNd
LACmz7YedjGFwhZ1MTw7yQuEHs0Ob0sMoJD76sacRBJBvqvwgxWW+hO9KwpkbFJ7zUL+oDo9bROG
6Vcdy8ELkZgvTHT0Lsw94sxSPziYufWfQyBuh6YouUgTC+21wY269bCCIxSJ5T5rEXlriM2HpbKs
7TT3DPtnpv+qr8XeXQCQx0wRb0v4yujAe/9YZKK8KlHD02keSxILNj6GgtsoiNydlwVbr1Or0645
LjjhyA/YtBkcggFI6kiArpfMR8kW6jr2pgB/gMgfmglHemPBbMxRjbs0igfaGXW0EW1eo0UOPvKU
eBv879XwQArT+Kiq5oMknp8Ezuy9xdwgWvmVYX+9X5DanhqrdQ8gfCMOn/Unlm3gbEc5Iq+hHjTu
YwCIBrAFcVqaodxTHCLvwWtWbaKU6S6wly8oLBfslhPgLDJXZK+wqaqmf0tgSm8E0qBjmytx59dZ
R3RaJa9FxkibMt7d913j/+6CPDrgmXZu2x6aaQJJch8BwnlyfJtndaJTdedwAkO5OuS9mjHFUqxI
33kEQ7E001tcRsEVDMJkX+QwsemI6vPEanbrI/I9DgBDr/LaQw4ijVFXBlrtEYfHch/Ei3eIfSJU
Iod+Z4bigyeWV3vOvWTrLfT80loVx6GmLol8PBpz7x7tnk03BHh2WRmGfv53PbOuop0vMZKc2S5F
b3PF6AvgUnPTheNwFnqqzlUxBif2bNXP0as6OisAbhi3xSMfcoqYNEEIjc5CUcHZo/MCwN+3V/Z1
s8+rqScMCUnKhZoVZ2WSBs4hGzIMvhFuRwKyX5xR630zp0cLYcaGJ+JUuLW/48Lw3oeKwOPVn0cD
HkXZNhnSCpnsjJdjQY/83sblwiggyLakgXWHus5w5rVFyMJmbc2cNkEQHvZ8/rvZw3XCtLirPHFv
sNbkood4GIdbZnADxnH/ps9AlgAjwevguNfZgqvPJXilWobp2qu5u6mn3O4psVS6K/vxKw+c/DTW
a/IiO9CEaI8MJd4uz1igLmvflxosRV09LkcHCMgR78T05DG53k4RBX1fLgNYxO4hGfyXjF6H6Ts/
AGt/M783qOJR7EYlmtJBgXQwC3Z5gQ3KgGU/dsIsrKOi+QdrL+9RqGK45qdvi2DAgBN/dDmnfpE+
O45/wbi8x58ygpqMy73pLMGenLiCZDLYWFCAn9kYuld+xkoj4i9/88rQ+TBONu5SHeRX3BLAuqPm
CW44in8N0Bx+yoCgvkyq5p0tGIkIGDfu/HJurmvL736XoWtteOeu1+Cc8qKW1cF4KsQfYsJHo1L6
/wnslujfcSNcoqy87kdU4rKMb+s2sblmi4oxaoUjItRpzZ4q41BFDsUcXa8eTnPjsP8pJ3ZIJE/J
jZs5x5rcPDpnsel0xtDUykuQPKQ9tGscCdpoYE90lfyv39LMoXdgfsazWBi7fXLiUd807C0mB3O8
P0fM3XKCzyPPvva6NqiOw5h2ii5+7D4XrqHfiI/hWU6iuJdssAew07RCOx9twTP0gO45xxpoYUnJ
S1C9pJM9oFjqdnPjtbfAhRMkbSQiMqqYxStHD9l9pKAcja4MbgowVcKu5G5ZRz39CsnHfaueLISG
jJ7npUSQRyO2cxLzDHKaS1oHd4Hl9c2mDKxXdrRQZmpKlFg0v4tmmp6bkimxZXx8DW7B7e04ZfgQ
uLAEYdjWFbZWqM0XNN8HtjdAyZ3+HdPvC1YNxt5V7jxIL6wPVUgAMtdeeFsBBUn3syj898wj0aCm
rIi9/FeWuEenjk+LSa+71D/hg+oB6zN+2y1uiTtmVaLvY2aDBdSEOvOI7xH6xFzgnqXgYy6SX1xo
r2M7fBnPxUSHjZ0EDH2IpQucOmt4786L5N6lCosSxALK32VqmW8b4660xRI0+uzqS0SIXOFFccKy
0zdrekB/YWC3bPxGM6myTNbsMk84zxy/wc28GLSO3WC5hCKEFVYSqk43uUDCSq8tSCS7dBidE72u
AIwZzE91ViwHdxi9e0kwrFdmX25MAVtObg/MAzSGLvpblRnMbQnbYeORRYYYElI7wr9zZKeruEFO
J0IHxbZurU/AWs1p1kVxg9+OK3plrXd+jajRqIkA9cS7MWMEys1y9TnwB/vU1CMNdUTUgzVB9s8m
/3WIOP/sgQnsJp8tdtldFzy2aBDvwkiieMnqz6CoeLxh2+xHbh9WU+pKM84ihaF716r9ZE/t7VIb
owoZKeR05BmETmm9eQAE3qtytPYpS/yXyiVdWZGoxMuRsibjqfs9WVG5p6LEAjfP8RZ7n/DYiwJ2
VTovTp3WJ1oLdUIroXhSy/gmii3miQGXFBvvndNV/VuTdPrGSwPQq2ktMV1p4lVapa010A0E/5ib
g4x0y3uHPIlkLqMtG13roHw2rwtzq2Mz9NFLNSf6gWUbeSDkWLH/aZyLSmGBUoONj7VdVG9tDAzb
QQyyym3mR2Y/YjOkXfFVlxKrfqqqP0PAbscJ2hjAdyroxs/cG5whxKvi6Sw/UzS4N8DnYSPLMbCv
wdakT3FMlQfEVaevhh0VR20D562PiKMqhDiCLRAX6c98roeY2JXEmKuIgMsTSuL4R+WC7mIRZu9G
ayy/XN2HFytovNdZSuYI3Qg3y+nNB5ug+DGH7/RUQ0s5jwFA+k0m04GnHgxyQycAfAO9kjHr5Vol
DyZzD0vrJRRsxrz2ScSg2kzjxXdAOatRVxfXdOa6ZL61xyr0e6xGrHpLkyiyGGdKt8mJDvmigg85
tQ7hB6XzOC7K7KdO6uvYZIr6U8Fv7DzvBy2r3i/wLH43HQqwkAbwCuJpfafiNL0MMklPnssuuyNs
41zjpebWcMPDVOlAbu30PrfGat/HVOYBS8BzSjYL0Nswu9hLewcly17XRIZddVeeg4VV+6bB5tz5
AG+8sc3/5A/V+yhs/Oscv027IVEaakMx/0lI668O99YmECiBG5SfO9kymeO3MNCHjETFWEXXxAlf
BmLqtJbhrY0Ud4fRb9ia3Evf2AvMu3EpPuoA9g6LYv+2IaSy9JbsUIly3ta2Ga/XJh//TvVbj83R
Q1V/XXfhjJ03CXfNrLPXJLEtqJIIunYJnznmzAj3mJaBeexbif6szplg2tULgUTMemoxvMbCY+Op
xROInegAyBcL0FHmOj9H5fCQjWrnxyOHy0xJLsQBjc58maNFHyAzT6tW9i5zzU/enrhmJxJkeybp
O29uzU532qfnVu6xXSTRorlYZ7wOb9QiAjDZAtPoCR1YEnGJOT/32L4RB+ogPdQaXM7QWPaePi86
MbUqdrmbtg9DQz6USIw+DSYkysTLSvISTHaWQ1NtNEmgd/0yu0egV8wpvfgWMjaKXqrR+JxOPRuH
wuZoT/LMtokLjEy0WUL7DdwI3KCAAWmxaprrIt7WjZVvKXxPSX2TB6gT+ngYb0qOQhRl1jQ8GS+r
PiAO8eFxEhn9aiPSooiM9okgIrWOmB4xZA9lK63HyfXKrrxq3YGlOxgetJS88BfCqqtL1mXyBzdg
ywCPSfeStDzwLNfgCVOMRFtphe/ENUavNmKovR7oWzZdOtOfEvkFbLvN5VGVYXdk+a4e22rKzzNL
uivCfz2Ina577Ae7/aXgRuJ1T/r0o67D7tdU4jo1TcOHceDw5KkJryMt66uOB3lC6z5vBgUJI60N
Zii7dd/ppcfXoU/Lp06PLtFtNpNMWdUs/kV75/CaPtilzYNhL/oa2+PvpsjsPZ1Qek7EIO9myVf9
FIVb13EG5gaexsxQWfKO21buS3eNAY8S8CuzdWNlREjlSA8OPoXFJpQaODM7PBZZCFIp0zM+ttjx
/Ce/mAhtKW12xyyZbjEB7O12RQHFHifWEKcnxDb5OWwdgjC6+hlp9yfKzttlTi240ulXnrvZla/b
23JonS1UUpz/zvRmaH5Y2iDckvNtH84/al1Z5zRLkof/J3Lq/4/Qwlwk7n840Xz8JIu6Sz6rfzfU
/Ou7/h5q4lzyFZYm3guA633mk3/NNFX4hxvQ6SpsTf9G1fi3mab4Y4VahOzwEUtjkvrfZGHb+QOx
BCooz3GwSgnvvwTPCNQ/i6SljZsK7Rp+KN9hkbEOPX99PqZVbP7n/5D/gshpsiqrMwdRqrI4WtFk
olu78Kj2TFgrcnkZ6KCjRTd9DLMMm5RWOK53Jc3DxbQhcZqlHQcEtuXOYSQD/UbpME+3dDo4eXyk
x/Ai6YoJqO1Lu78JS/zVfuZA1tT+2B2RXjGJGwakb6CALeLDUze67Qm+andpWakr7LUNWLq+LJuj
Aqv1gZMT5JB0JtbScKGoAPOa2NytqKL4BvyZ+gkBgHAfHyfsNITB/ZKTeKYRcOzZ2+bslshJa4Bf
PA52o38NtrAQlUxF+SKKSP0syat7t/sY4N1s9xnLXsK1EpxZJmaW6WdvGICRoOI7h9TZjH4eHP2h
nJ6MEP2RBWdr3whf9x+gPiIAYvP04QTuhCOUjeclZVArdmUlM5R9VccGn7BPYGZFZznLTmUxB8lQ
In7bDK3EihoTynrHwas5UCS4jKaWTvwpKhIQN2k9W/l+zPWquHRZpimXtKKgk6TPd2NCxpKLBfds
jFPg2yqHftlZLLmc62CYTXU0FdCnqxotOKGB1JV93zF0QEhs+AM4r5oNKaflQWdV9tPp+vxmydzm
nvmc+5VIOb2wGkOe3XN/Vptx0tW5QeFWb5xmBF9cjM1raariOCwBzLzSw8YFulkjcRPg1F6TPu5e
tW5yNpVLCAxdL279KFWc6T2PYHodxq64h2eQPOQS6+ohmrvwlKSdOTpiit+zeIJVg+yQAR/r9J5o
jMDvlzfGTkN7VnKUFtFHkyUPvUV68Mlyh+zTMwNwr7DOY+da+mhTNh5zeF4zOeAEFwJRhl7NyZCL
ZqKhXeRbNImmizYYWRhghlxVr71aIfo9acwfmeqCmywNcTKnYRv1+6GLyoY37GxHlEJqZMjUokM+
juXqc45Geu59p8s43wmgVkcXh80N/Zi9TnCClzwzdANAPwngqwzhdOFQLvdR1jnFI3Hk9QZ5k3NK
tXLuJXvM62kQSXssDEDcjYQG/oGqMb/2fYIWqQfI2WO77u9kRcN7YP7WndNoJspTTCuHDw35Pqxq
9RHGmQzwwWMU2NY91uQd7UE4bp3GLg5K2+1V4ExddmDo0B9ELYiQHhfLoYobu/gR6SkCS51k4btA
nPOWoZn5qYbAvfbHATU7uUGwaUC+bd06eOsh1RRg+ego5k66n//K3nksx45tSfZX6geQBpwDOQ2t
g1pNYCQvL7Q80F9fC/HyVWU+K9E96FlP0jItLy/JCASwj2/35Y6FS/gamEFho1H1dEh4Q9peq3zq
R0hYrXmoO5O+0ynl3LbhiNK+WcT9vsI44EyZckZItzX3gZg66qmVO0p/Rrixts539vWOjJpPO2J4
rMqAeGYROVgAQlKr3XKwPYCpg9UGqOoJSSrUep6kIwguYyVKUTdLzzUwKRXk1y1IHs1IEgQPODZG
LtjPwtQinJGl5u+EF6a/0HwM0OOBPOV8wjlDs//8xgFSXHASWttBh0Udehgq2EpI87vGiXF1R8c2
jzi8ovoSMGp+aFMu6Usw1RJLjnei1yZ45orCPZB5XJV5PRUbHibje9KO6aUCs9XDFmCNxBInEFvL
aHKPfXn3HdfmsHUCNVdkjwgX4ZAMdKcYLceXxujsE9T06ZGbjZU9URruf7qx5l6wHuZ8A+aHgwrK
5C0ic9Iy5LkOxrE0014r4iCXhDJTNHj0fcL2gG0ooqtSqOlOQG5cFL8aWXkcrqtIYI4xuDu+mIMW
U+tDhlYD+6kIfFOmxceMfAp4xiafpDjXzkhzqF9YTy4ABBqueiyNtFSRElSqoccvLsKjtKKPoDGy
Hc2qHHBE2X6mQ1vSi9wBGlB0gLHopg6M21kGoq2iO6ZPKNMktZ6KNXk1+nJnTsguojLljo2AAIAz
jR0bj8baO2k1vTWk/sq1gaV0bZRUxO5qvzGjR50KQIs/60cvqA2Q/drQTTcej/t9MggK6PDjMH8S
BjR+oWM6V+pR5IemddmdGI1iI2EdvaTB4EZ3WcgSiR+emW4hrT7/oGp32OFsHOSy7Uu8zq2NfTqq
C3dNCAF1vIOl4jwFWtv9HpxIZCsryyoMu6ZDKhDaS7j0AaosTbYzzTIa6BGBCuFka6ygmP6tbnQr
1gP+XVtjRSaniBF45TYOdy1TM+xXZdsmD+7Ex03IoUhkXro0Pb9/TDwHgIQmxC6AMfxUZHPCwHC7
dekDdfETsFpqRHJZBFkBaZrIAcf++XOokR12cs79tbw2lf3QpqA0pV29FgFtHH4whwFiuoALuFrH
CEtUjj5n/hrCWN8HoefiNcGA2XQlWKUx+khoelj4lfMDlOeLgkINkxC53cYPMsRoJGvyhsFgvjYJ
B651UXInXoSWouaebWgv96ZtofUiecXlvjd9tD1LKwoTpr0N+CJIRxgKgZO2tIDXbj0shtD9BXSS
4hNhNMZLWLratCj1JrKovUzd4TJx+fzyYYpT1QtlYWmGadbMR7mCEAhcxMnT410SxNpaUDTHtYL0
TOeuuyJCh9KWgrHaF00KriSOnYfEokbG6nyMpphEvjM3Er/dyG/eU5eqpmEa1ZdWQfpHWjCjVa/H
lEGZlm9fHDYri9yDYc8WIcVdDoI8wW8UF5r2bIZRCuSn76Ji6SZtla9EFdEBVLnAyNcZFwwsqTIO
xzVtvtJYdzPOrJzBZhWW0miZDpCj15Ak4KA5nDH33iTVjzuz07IbRs2ciWpZRpRhyR2hww436O51
uhEYprz2zv1EJa9+ozQ0Rht+ZaUC3VDXGn4TWnG/StHYDCpeMX7oN+DDeIM/sP3FsNgCDnS2HKaA
RNCCyRwKs3raZjeWBF2L8Zm0l4Bcm0hndsdR+5rVdOiJguNtARPkhSEKXkUCTuBbVWP91lKfcEhx
EAJJppoKBPiYDJegngEYKft4benc4BhKGvG1vSEzpG01q9LWwmllJDSHnjiCZfipZghHy81u0/f1
/PTjgJ7yWJ2xHWImeFgpH9PlgJkBxyL+w96biheJlcxZWm5U7F3NQRTuqzbe4T6p7juse9j9AwFI
pL1BRdgPjdEVD2hwHmJVs8/HqPbJeqC6F2VmP/iqdmiWEnbDBgT2K6pMK7hOSE/wO8u01Tedilf1
jEDpbjQUjcH0HhZcf2xvyBSwweBTuI1bL3QrTNwji3As2WjnSbV2wxnBElhx8SPqDFN/csO1BIT4
QLfcMC7+THRhUPAfAA+MwQlUFiU5RTXzXzhxsEZJQF4B+qlipBVu0NBjqPtpXkCowZQhN9dcWwj7
x7ztSLQZaf0Dqsd46BOQnStjptOEM6cGf6L3ImZ2jeg876eFSvw8am5/dGfGzUgSmpXMjL/pi7gF
f28wLphVI8xlBjB4S9cnwY2eTMZez4PxlVpobNvtDNnBflI2hHBMnJdBqsfJtkCPxz90Y/YEJLNp
UqX+mZI09m4uIAbgODv2DeB/biSgogvlHqa0TRO9jvCFJMHTbWGGYTVufZZk0WGaSUNWa47VvjVn
HlEUp5W2ar3U+92xU/hWNcLknKHIxVpxlnoxqZ4Pl3bYD7Wx1UNQg0S569A8RBJnG/esuIw3Fpav
Dh46ZR/aZ1ErZzfGIp0DMFNqxfswJ/oxLEmBltMKk03hvrEmMNwHC5wsa3muNAJsROctkmp++wnH
daFGcmKbvgGFAzLBAWEF/3470B21p0hVcGFOVAacsKyCVW2lSXHKRKsWlNKClAoWnCfCZhWN4/5I
TsxjJrhLW2OiYz2ZvECcyCJo/jZkq5+uyQa0a2iKui2XMusokoHwYtWswXKI99U5nArGoxIgBtYY
o8zMSwPQ1D9YhurCK63PrQ3N2/f7XaxYEwydld8TQa+0k2sxk+Dlg0Ow9YCcy40apjDas1KM4jfU
7TrbWbXPmr9M3FF9ZBO2Wg+7O00KY2v5H7hjae5whsBwGJIa6Qe8773AitwpxZhZkzxaGoI2rnCu
EtU/pN2pZlk3NWn+yi/Fyicl4Z14fFf9LnGN9mCOmVGvBZ2EuwJy/LahjxbvBFSgxzAHwryHshjr
mxAB3qWMpQ3ic2E6vbNE8y6adZMIGsHos9FWTdDbWxhznk94Dk/MhjIJnl3Qvh3/kFftWIkFWUgd
m1BhZ8kaUnuq3oeEcbushjE7U+8pnCXRf4u0it03bnmAuDR6Ox/LMzxFK3PCFx5StpoBEzljjt73
J/Y67lxpGKkuew5tUj9fBp/h4j5om3GV2+UcyKn8iKOdsru7uPK895jhbsY34QJYKX4dYhZ04U47
I2AzQ/sfG4K161uOyZ7AaTYOoQoCam6tHaMsefdiFiULWEzBXZiA68hMv/zQ5IBgnOrTXUwaIcZj
3a7qKIGBlXo9dLZJdvE2GewyXFGTWx1Fk5FWyilU+Y3hRhN7w6GucoXEMJNm03D8HoNayr3qDdYM
eGewiFdd+9gaFZkLO5Bzqg1PUicrjS5BM31oA8W9CUB2cgwGPrFMLT5OE9/F57uE6tR9KcdtU6Z3
l7hdQQHq7DzgXLOLFMQ2bA6AzBQFPrwf7rwTSaMAMdGWqThjEOuCFV+tI7Pnna6tqrjwiANn4UCf
Ua0P2yHAGl1x68fSiHH5GSs9J6YEdulnBs1tT2+6Rr2445+cMlVztH0y7EUaABpfTZklr1YayAd2
xeYWpky2j9msTl/S4OWwoakduS6bJ155b2fSgsLXF45RrPtJ7Us9Hz4DpQcv4xg1r2MVNPHWiA1x
6KQx95t4I+4210jfKVl2aF8nTKYvncLQM3zlVkmqgi6O9OK1LWadSaL2bzR+MeIxiXd0WU4S6Utm
BE/u+n2F/t94lB34drVqoIsROSdA2a16Gia4Y1eevf5/olv+t4ynmTfxjZO+jug1gl37J39i7iH7
23+sb51k9+1PPT78qDZt/om5nf/k/+n//LPZ7GksaTb7/JVF+SpSRKa/m79KkFLYNkrjf2/FfPrM
ovTfLp+/2v/iy/4D8CBRGSmkJm7ruabE8PinHdP+A1+l8GwbDfJPUfOfCCf5h+npUCF0CflXuBaC
438gnHBQCr7KNB1qqD1gwf98Ae7+wW34n7i//0r9hcsgXI9/WHw3oQtAEn8VLmsSUK09kLHgtn5n
sOBZJFr1kZn0Y9VMkFqTHEzu/rtWEfP7yyv154/yb4De74oob5BBbTn/5X9FS7jwLmwLI6gEI8lv
RP3cX785wpIe93zM1kaqTTu/sQPIkRB56kENi9mchmYRC3qxuhAAgB6dGj4M39xqA9DpQ0g+vjEV
zo1pGi6dxQYE/L515IQ/IM1E8lDVfPajWnlnGSk2oTWdkzsfHsFILoI0el0694zdVnIuOTAsK9t+
kigbS2h0/IXOVJRgGnrjahbsVClJUGdGV7qsowSnltVMmzmmSMcmma2LQwT3CY8Bs0uZyeme1h1x
Eq7Snhz6R/CBFt61l/SAz5jnMztHJDNNG5+BGrPFcSChGsDBF2Fqt1tuKdbRQyPYzjESishRxTFX
ahqjMaj4ZGc6lTg5VmWrVa1FLX5QchjyWDHHYXZ3pL8NImZYrFpktRlJ3Q8MdbFEJi3FA9IN1SyK
FRF3cI1XTclxN3axOjWYuzidVWF2j/O0I0g16u8oKYpTESVm41JnFCENJfr+rQ+CkP5qt88ec6le
20qz1p2PkdQTzdHNzaNHgGMXxLXa0a+JJ73SPuxW9wDxmINNbmGgeAxEJEDQJMbgbgOpbHZTNgyX
FnGINytJjh1c5W0KxmsrSEK2y7hyi1POumGPkRUFowv7p4Aisy0n7WBF88i0UQqFemp5u5WR6J9U
PVBbBxDVJ56eDdtE864ZofsT6nqwSQjPnaXG0CocKyeJwvPb0ZS7MxpsIx6fHJpimtY4jVEflgiw
mbOs494vsRhizEghtZJTL8094QZa4zRB9J4Q6wpYtnqlH8F9he6sn8u45JoOrCPEV+y483XeBBHV
tji0z3KsvaeOJDR43LZZEZlQa6kPCoHCK9HhKnIqvIPqycEE6i0sMiaPbqCoB+0wWtNRM3oaPh+Q
DQa4bOasj9htpbEpbeyOvMR6Xq0SRQBpHRq9lWxgLFOLJXsBKCuLouni5o78yk2/eYALxRTixA2d
nNQIP/agfn8mTlSPTq+851nUxs0XttpHHInhRPee+STxLhqroRgq52LCzUQoG7qi5hhu+f3G0LRq
a3tWDPuEtHPAA6oK2CkmQf9VjgOG0I7F6ymuab/+cF0FP9SxxqVH28jcwm3HX2qo07se3NKKFGj6
pCJh7fKi2qscJYEIwu9pnrbJyPQk6qT8jWhT/ooGFe/GwIrOYF3CPdE1HFp+icYeVLLD3goLRLci
HqntYDTPdi+879iX/l4rbPR9ixEgV31PgE1l1i7Rq7ha0cSozrR0h+tR5vWr9FMW1G1vYN6ZrE9/
6vJN2xfRb2EbxhpbQ/4Ai9TFOOEZn1kw2XdGO7VbP/R5CQdXPXOOK7ZpR+8fcO3sLYyt6qWIpXx2
XM/chwrdu+QR7q+sZA5vt23Sb0ulUtbmeUofItRUo/5Gw8uDI9zngP1vnLrms8DQQsUZX/lWT/7W
5yj02/el7exMYFDT2iAnP+0IWU6kYKN4XINg2bhjSIzDY6J1V3Fbs6sOdFBjSIGjDUVE8+rVEHfR
J1faQNM1jVPckGgV1ldaxN2YlCA+hxBjZ7xxyh6KMVC3jNBL5XinphyzwyQh/m4qM+GY4mrC3ft4
MD4szfJQ1KZuX+ngcpUkBr6Kta7XVnHeR/C8MRlax44+j09mZhRSH7voMRit/qWN88bZU/AT+Ux5
yXRv4FNB9IWrsfah43zm8VBeGqyZ4kBuylt32vhOiVUuqFTmhaGzWXvMW1n+4NvtcL0W4bp3BAVL
ettiBsJl3OBcHrP8jYsfczA2StbvCB6e3CZ+w+6otSrk0qrvIO1mTgV5r22qBkWwL433oezoYGnC
xNhkoZ5D5G2r5l3LMQ2vHWLRr8De9LcqIs2vV7QOR20Dcd6cIMc3U70h1a2uPQr7LwU78YJB1otx
djbADA1s7tMynfxiOwac25b8seiIgoyUFpSOfMKnayNLmHzoF4XZVBxsa36ALJmS2Uw5oTb2Rkxq
NUjiTFskKimxoLcm94uQNXi6LZIRSJ8fWC1YItiNw8a9dUdi3HY1cK48d9y5XJJHjw+2AAGOtveh
K5+TiCLKBGvBhrcMk3ZMTaWZpMMJ2yEPPLRxb0EotjmAKaFuKg2l1tD0meV3jOQteT8+DvgsHMyp
RNdgFochu3xHXmNMCRdGdQzwAKBO1LMgXiC+HDOv6qkeRPFZsJeN8yX+WeL83lzNqRkUxSD2TZAZ
MdHp8wcdF+PU1GId6J77Kx4zrtt2BHy9KBJP/a6JyCO/4R7EAztoG6Z1JiFvLg3Fj2CuXL1o7kH3
bmVjD3fh3DQKayJ4MRraR4sZC+jD96GgMBRoIHNPaTg3lqowCK/KmWtMxdxoms7dpt3cchreCk8F
jW+kEWdqAthCqS8kwcizO4Unwl5rJAseyG1FBlovKFN1RPhEz0B/6aayhvBoVslF3PpXyYNdTIKl
VCdh734YGsLSCIL6MfRJZc4trl3BCWzudYXdiAfKszfR3PnKAPtNnttacYS5wuHQaYQmB23GJd+P
L7Q3lFc7BzzGdMkmtoApWIYbc+6NZ4GRu3dAefBi2Mog45qIuZgWj3txJLMPENIz8cQUXFTMQQxC
v7O52ZakJURfd+67tUVso0LKCGASWqtOJW6Y4acSiUnYW7X1D2sHt9mabtR8t7d6k+xWddLVtJ5g
UtRPya0KpaIbj1qUW0VKiqChMIpkfr+fA0YzkmViWktuLEjEJMg8zdQu4VkAi3QCi+dhOTMkm5km
SQaJVq4bYnIeVexFc0NP6q4LZjueiZTTzKY0ySO/UNBNl17VRcmBEFNJFaRg+lrXM92yCjI1rI0b
9DIbPe+uUuV0SfSazoyZjnk7KepUCsAChJ05YPnVl8MNqZm49lDu/SEycb7AXeHN4wZeLuc9TLQA
+FH/eDc8JzQBUJ1ypnaS4QLmxMSOdJePM9hTH4r61GpeqNZjUBSncGaANjccKDtL0KC8L+y+wAti
NCBNxk0MD6qlTnU1Y0XzG2K0Zm9Cuy0q07Q2A20kKA4uM1/FNzxpOU68QPENW5owEFsba6aZdjew
KZwdtoNxJ0R38OyqczfUGDF0FCnY8w4O+NwKMDAB276+MEYzOdDXQXuWx6noqZx68eqEuo3OSDvk
wTDxBGYzknW60Vm7GdSKQ6DLj9h4iBroUV/1iHL4PlZ4+mpGVtLOR0A92ifYxGgARDQhqDo6Y9S6
FzSDsydxVbdpdJvlNO8JLNkQXOlrmnbxSz0S3T5NN+6s1fTBPi3qFpWp0n50I/YR6mZOrc5TZT8O
HNKXxQyyZTULTxO5pHnl3S7PALIJSE/AMvc0QXMEUak4TibeCM/ym1OGy5cYzY2ey6++HvkhWpar
5nApOyuFDx1S8Ae5lK7WFbwL66nRBdvY/+U8ZvxrMo9TpqfTtU6NnuUa2GP+fhxj8Q2CKTKbtW/o
KbuV4CuP8kcEpDfpZY/CynmwOhgLGTI/FAb0f/ie/lZJ89fz4MwK/ttpkG9v6yC5me50U9fn//8X
D03iK0HXiNas4RtUC20q8xMvfnr8n0+dtxPtv34bT8wnTp3vQyPP37/NqKZOQJfDZxCwTAKqWoLH
mmtGdmZImmKZdGVG5a4HV4FOGU2QK4T5tzDYH74Zw2jtRy1vT3aZNQ8JKZzz/JLR36yLi9YTqMCI
UkIsRQFdtjwXmzsE2sL//8TNn5uq87/oMYZtQLzkYfSX93xWff7WU//0k37mwb82Mf3nV/4pyxh/
3ACZHotLKdHJESf+lGWcPwRRVxPBxoC9aQs+B/+UZbw/mBgweWHwFrC3XWCYf8oycDcZeTzPMwF1
Syyy/3eyjDd/2P56mdqWJQ1buA6BA1fSJPb3yzRK3EgRjQkYQZoHG+V9l1GUSAMqfFhPy/qf2KVl
WLM9j9457MC4TNWmC22540khN16BLX7dcV3GcIt6616hVG8MIof7Zs42hil7O8cP7LMkmb9Hryw2
DVryr1r4xYbKv9jhryybL0U5mjrHMH/0RT1E9htnzvClKXN1roqag14rGuhmdau7R2eY3H3U9/SD
c9qlzRRIHGiioAfM3Zoa3My8/6ZCtuYW5x4ZKbs3ou7dEr6GIF1r2NHEM84xd7WN57fiFgC3rzbr
PYfi+DnPHLNc5pXdsxxLB69eaBAy82XOnuyaYGwtKN8zSvq5Nc86t74b5VhGHOs5r/Xu3YPYBELB
iZp96cX+E5tofLn0muPSxg0UXsak7nEHaQOF3U0oo2vDE+Clzq0oWSd1RLcj6sei68eLgdVpx3Gw
/y70LENST7lfqVSpa5MMGkmQHCoYrb3Wi6/38tRIqT2FiaO/aUWOisYKs9uPVddTCR7k61oG1PGN
KS94YA/zD55KFiv87G2IJFG4UDRaUZx0CI0czoc0/wIXAwoo1BmRmJYEPySFXgtdcqBM9Ni44j5g
+E6ccaTvPg5STlyyoY/SjraC+Yt9olHvzZCCqk71B3g8WGRbWnmoogwf2gEfbB8HnTFDFxi18VRD
km6n/jMIq/jQw20+c0G1sb+gXFvDbNyZ6yB1cFHX3qobFFXXOslkb6rtnaNl0UupClovBq06Ghrz
p6Y5GYvFobo6bNG2RVaM6H69vIaE/dak7GgDazP9yDvq74Wmqk02JfpHNU3TITQD/w5sRHweYy7U
mmDwV0P8b6PLQZFiJGhNLOqpqvpl79UFpo42vAORQCEhYZRn3Cj+Jmhd8zMy2vEYQUdZUq2JYQeQ
unRq9arr5TuZo3FhOAxHvE0vyuvwBuZtA3wEHkz0mA39rh7iu1Kg15MvtktCkhNjBwHGRTtgqgIK
1e4sWrTKJbNd4ixK4s1PfA6cM8Qi+8FLLDvfccKIDymrlTcFz/+JfXyRrAppSBrWM4p2F4QhsgAB
cy6Zr4gvgZS2LjovH0png6EOfSqiE0PCzMoK23zJY9e80M0jd0Y924nGjDyC7/TRb71Ly01N32yD
+ODTmZNmTB8t5aQUfRqMzGAEefsxbkPds+zxLjShi3KwwOwfE8xZiMkN7sqhCjg9o109DK5LP0s/
IsKiYHfvJaVilygy+8Oo55QKBZIDGSyoib+JJtW0a40HT1TOzp0qQC9+aXVPrgfCts2cfmf3w/jl
pVH2NDaiqHdUcJlfXN/R79DuJIUkllGx1htF+Gn4qYlyhkMVE0zoOIQNqpyEWAa/UMaZrDZJEVfb
Pqiwr82m023ZJvkV84V86vDYUk5qicckA5xbaxjzFrwo9l0YAfpYCbuiL7nGHbNt9Ta4Tn1MZpyl
E50bUXNqwjL7jrmEeVd9KV5Q6poTQVLJwDRVO1dyCjfQYC55nmELSGsAj9jFff1o++BoOagGR8vo
4pNBmRHnJssiiFprhvGkWXav1kA9tTWfX+fiJE1279aB/mCKQZQYhmwZHpiGiWWnmY7HiTXKdz8V
E0Va2L8cyJzVkjTKkljdIWZny2c+xkeAFbDD9KYVyTbK+kqtEzrFDlJPw13v5Rc9rmGrGJqlrUpJ
NXHoNcZucI2M9tWmX1p8cNdKz6ItYJCI8NGUP1KQw45TRSgtkXeFRxycoeq634n0onMf+MnGEMWE
9N50x8DOBJFYS/9Kpio5dx2wgTj3GzbYljM3EvEeisCmtaRKUIThIHIvyo/5CGcHgb3t106WfcFK
KdapodU7aeb2qxZWG9ttXwH/l1s++rQC074bViJcaXHS/TKL6CdWpbO2lTZCODPAYRYo53BdSPiY
1dZqLXMP0PEqNNNZ4QHS7g0tZ/s/Bfk+0PyDHtTYygp70GHJa+PbWM6yKJ1G9T3NChJoF3mydW2K
FeeKpylzhk1mcbApwvIt1UexT8vGWNl19DVLWemB4zAYsBLH9AqqIroeMtywaXyzezA6Mz4PnVYi
sJTNpRbi6LjWRzuUO9QDGgfBtC2QDVqc4IPBqUmcDLOZcH1RWEDQogY9Qx1rwWbYaeOjkBSNkeKY
RuqQrLm0NtT517Ywsy1gywOd3i1laxYkzxUpG6AZhtuwNkQxLJHp089sTDFmsIN4l+TJvCVCX3Qm
89xt89CoqACQWvVQNWm9nareTRe16TIndEN7zMIgyfC91cFKjZNcTK0mfzL4ONGaR7yVrM2yCRlm
tIDofN9G2HNLxXMgEoqSt1GoXC3Z9tjfeaHaq2M3PQj9UNFlTDbV6XmIeeCMlizfz0VBFcjIVoBb
1Rg/SaXDnvA9sIhLw++HFwKbvzwu9/fJsleMPWcrdNtNogBLcEOsHiKb83PBnl7eNk38UjM9Pw7E
PRLn9A6cA7w2MZJDLGuvx7UJGUrvofZIr+7PjptYX0ok/ge73GoRGM2wdj1607JMcza1LOvnwuko
+6aYIkXzObDBbu/K2A9eEgv3fYaP/7fUnfQNP0+5oRCIzcMcl4x2KQuYXZ9TFwAjqy5BGrDDXlim
md/xDOi3bZp0F9wZ00EwkL1EuDIPhEYp/2M9QhNlpe/LzGp4IDnWCUG6EEs8Wu4+rHmtLGTFb1FZ
+s4NGrWSmBk3KqvYl2eGtYWTsZ2a5Hm0kwkLQ7RyLAh0paxXQs3cXujdLrk5nKxZu277+keaPfNc
waWIWwAfCsdgbsQr4JTZCpfKCrfLvSYreSiK3twTNbd2UeYXnxb3syWIczo1VcYSnkKGTdlEBU8Y
MRc4ue69TRX8KfDBd+F28885WuUCxAd0qzQHhwStmOWeuARdexRi/G0Y8InYI/j6gIBoW4DPFLAJ
a0wWglHr4iWFucmDvjo2UxButYkDu+p5qni10T01VF8+jyaGgyEaqA4xhosesCx3PAgd1H3EbDIG
CmT6QK4pXbPR00pvAxlmCJdSDu98UXeCUjh9ASrHsx/r8YZ+vvxEd4l85fUm5mzabU6HcBk5G3B6
5toKdG2XR2Z4cHzHuS9xvC98FpxHDCDJVVhOOgfq/HsdQ/opw0wGLUVLBMDWxLrjE4paifxWnziH
ZPfU/lk/E3Z+Agh+fpWDMC5WK+xDW6fWD6hB72y3YBfZYEWPErzK0dJtwC5xlUfvmpE1Z26b6b5C
x1ypyvnGpurtKAyEQWPG7aUxDfcdMzAg2DjPEZ950DMXybg8EzDEhFvDAKHVJ1D0O1rlyN0Doynt
aPkGnHy782qiv5rljA8go9W0SijRwUPur3LNyw9yoGuDlH1+HbLwrcB2caf7ZYIFza120ikjOuHl
FohhgnoVVxsnmpNh7NJWY2iA1aDiMV2UfrAumZvgInNzbj07IieZWK86RxleZje7Vi03PObH4g16
gvXh5WlygJbNBVwrE4s4BpvFFLTk2hXmhPtAsADKWht/VTkN3/6YJjTj8dzzYeit4GF1G+XwHB8c
kASFUz3bTRe8uprPlEmfC5vi7r2uKcwMqOjymnJvQExhK9bd8USlDZFserHSrZaSNCwqug4ZnWNW
s3DL/juK+hY7eZkd4nrO3CF876VlGAdnwPQlFNw7Kln9XR+6S08n3EIIl7ha+qvvdO9X4JZyH1Po
7TLC0o7ap/X3SHbjSO6TDZEZpclG9HjS/Kwn9VrMYfup5+Uze/OqWS77tzCp73DS5cvQLkrKFauK
LgSjw+gCJCESMdxDQzFOVJ62azCcnzNPJwQQROOj71MqRKFL+pkY3sSvwmo/y6fwm8OY2Hd4PleY
h0wY/U31DOa5f0i6CQtmlUvjPXcK7YMeiXZTRXq5Y/N0S4RQWEbhXMahh77Mu5rUEM06aqVc4kp4
Zr1k45YjurtHlcDESa6LlqXi/bKwZr8RSOq5sjB80faHL8Zv2fZiDKx4pBQW1dmtXSyJU/z2GPi7
xjsNucffXzbABPNp5WFAZTzVD4ld6+vMyYjZDjty4E8uKvQS/FJ0RzKFDUqajzvlOsFmNOsKs1PR
7FnfN++VXnSfU4d1zXN8+0VDAqNwqfC/yaXz+BzbHAG6trwtbw9MgKxzznJKy5MNxvbdcf2W2ciy
9oXOSIslXOMpSDEQfglY5DtvmvnzuaGxXslzbvFVlHlbAc51EfYFnumRDtCNX8futw7530Tktehv
TX3nw7M121loupu8lIxIa7hU3qUhbvxWDV20peWXmKSQw6edhxnPjiQ3cCKORJXMfLoP8OQfEmsa
7jWl2ABY+E2XJOPEmnqNaT+hVDx4pC0+oUdEW7vuy7eS5xu3eEXRx2hmazvp2W/gssP425Q2oBtq
QOj6Ke4bkD9E0Iuu/tGB/jxpud07C9WZ6mxbJFyINMgC7IBw37FdVFtHid9RkgNzDkN8hlir5J0b
GDowDBlBMcWqUes0Ua5KuBXnwZnEofaF2GjjmL211Dx/E24gJMXHHQZWWlzmPoQLRT9z+h7M0qoI
8z6jxFiou8RpyivDNXRdfN3jro4p9VhUPEQfggKzCYgaK92XduZuCcvVj3HJDAs3P8l2mfDMFalV
9yQCSm4ryviebV1jTTIbmmnPmk2r2CT82sfA6E1dvO9zm4pt1U+HjPHsUIEofMOl3D15TKH3LUT7
TTnF8iUTQ3TwOiP+CpyWZ5HfTxdrskrseKUenKgZMc65gmhNONcGv5pae73ssF/ApofaX8S29dmZ
gImJTUn9k07BBMSfMw2vZoIJBkCVpxAeGlOv1oFXtEdtUsZaFizfFzhOps3IOvPMc7x8p6CsfOmA
kc+cew4GbqMWI0j/K+E99xl2gnNwa4tNV9uxatJEdmGDyogVNyqpMB5E3ZvhgD+x9Di80tAgtrUy
JodISGK/TwYwGYuA4KIp3RTSm8XUCYMNTmprVmsHRgWmRjvgrXU/yx4FJIy17YRotdFHzuD8Hmy8
2FR0Qi5t3+XuitycUL8yaw90NWQ7o8FWUWuEGGWqgwxIFEUhOf7jLw0aODGC+N/ZO7PlxpE0S79K
vwDGHA44lpu54L6IEkXtcQOTQiHsm2PH08/HyJzuqKjsrO6+G7MpK0vLqEwVKRJwuJ//nO+wXfJT
hwQSHMQc0pNZBfSqIfbyW7O9NfCjxuByT7GteLOSTo5rSXr8h1T/p+Pt/IcO+IeN61dH3K8Guf9N
VIT//nTJ/fu/89MI9h9/+n/Kamc7VxTgf261w17yrv/trN8/fzTRP7jt/vjJP2VdahGFKRkjgCr0
qWRBN/13WRcUjjQV4HbLk56Jpe4/gsKEOhFbObxJnD4WP/SnrEtQ2LMZRoBj8W0Tm/d/i354nS38
KuqavlSmTVDYIYwhTYu38OuIowW67uhO9dsqaf0H2GzTXcH9R8+oH+sPw5/T4yD8ulr+8kH9ebX8
OllhTPe7nGySnMZ44imMx2h8Vz/hr6/cNU6K/b/vt47dBZtYW6p6JyPPHiHuTTtfdBV4oWWMAfs1
w640r6lxQX313IzSViimwtmKrDLlstFW9hZgVEZJMrG82+YUtktPY6EWDUDyZZozyd8N8hqJJc8H
HtUcWu6AqvSmDyBcC6uddMFjynLfchJh71Mp/Wda1vNoTRq4v58It1WrtEVNiZGpY7ZFAfBf6t67
18J2442i9m3l5fnRjssYpWczDQDem7n4wGS2jFqrX80A/1dNUNJWoM2bRg/JPcdv9wVLUb21aJa6
0XllskJwYIBRFzrBEx3CcQKIzwA+68mRtrvpB5uEdEvkbhNgU9q3ckyADEVnL+rcTT8CTGDTAtTe
LJ7jGB17qHgemwOjT8IppFklgEUg2yy51+FpCTHYt+y7ohoACRCdkhaFEmAY+UFdq01RObCTrgYP
ijATjqbyHZcZliXfxqzElifKqCmw9LaAmU4ivGf1JSyDnLYFkt0sGzVn/Eslm9CgGe4G3VFC21Xt
nkIITZV108EI63I85KAtOcwzoAobXNFD7K5BjFmrZkSaaVXY7aVozI0dW2pv4+BcGL2s16buOhg9
DUUYkNmWM25FWJyF3KVorJugCnNsNinxdqBfK42NZDsPGmgHEQjs/2aYgZM37M/K7MNdZ7PvdQ3H
uGVFBYPEZuVC7WyTrgobLGcIJSlZeGMQcSKkEykh8RPl4QqxwfZXzMWx+AyW3byT/aRPqJoxly9j
SO5vYWd7J1I/5geNNPkn+1NkdaQVZYHvGjoe0+mNALmbrQYt4ttE+vW+xQoAssk45FZVHaI5L19y
TCR81olGWRXwwee1VkNMGbkPlA3oSek4LPpOec6zHtO8CCi5XtB7RD4MHRLETTpfp/hWdpM1ubkd
TZiJWA8j7yFXhq4B9NtiVTvFLNfKMDFpzLQjnIS2iNU19dTfSyDBGzuMpvAQhhVbEeRf961pPQ61
ATHd29q16IepiSlfpsET++s4o2BjC6J55obap1Q/Q6UXXogPPbMfS605ZNKeAINJeddAPviqgfSL
U2V3Vl72zz5BVrpwfJfMojNK2DuGrYe1p5BSD9PQmj/KusLMZ+Xmc2pFdbdtc9P+YnsW+BvbkpNe
WE0NlXYxT8q4eCg4G6JW2IFoKeQoriQ0jYKMD0J7RrtZJ0mcs2E3jroS2BX5j7VUYexeOhQR0GHA
STfZbLAPmD6dMP1o8ugG9XRbCcPedBO5tbyX2a6PfOvOsWG71nZ3QyscOBZUjBu/jdPFbF49sxyT
VvlstLukqm8LZ27OdSI+cWZBiS11vgzaLNyJxK1OhetyQAr5jdwpR9bP3fgcBUa7HXGF0vAwynVL
f+rH7Oh+MxEYuKUmFnIpbpnhJmjS8SvPA5IJpF3io0+ZU8QF7BFknwu8x0Q5lPnhIiYfMtllRx/5
esSVypinMVtrZdKJ5/yoy+mKdnLLCR5UYeTcl8ZrC1wPlzWbFcdUT2k0uZum6Lt7nzE3O7uYWQ6q
TX+gVfJHZdWsHwRGbJwK4BN8fEmnnmokZacoc/5ohOshDzm1t1F+NgScq6WyOlgn5RBcQJimSOXG
rGnsnFIOMiFmpdbIu9tmwAa+jkh1UmLXTneepgdjaktpLnDvulxZVNmyWoQfHnbilVEob2d5UAXI
SIllhgIBEUjKJy8jh0yggbHFiMkSOySR1SG97QNS22jIuy6T+bLM1YGEiXuqpBMdOkd98XSKb4lr
VdtM05DH8W1WzT6x0nFZBaS313qeye3ETWgWK2Oq9WdsEOS8FgaJG9cpgPtISADNOtJGMiLA9yQD
o/4ST2FKYQ+OkMy1IHdHZrflHDGSCuKG2SpcK/2uqhhKrPu+927x+OXPLt8TZT2m3nGiKj4hjtnn
ZqyDjwkujf3Q1DnLbDsXUbsqWwy9zHFg7qwqdgfsWBGT17iPZxzlswXUQ3xU+DI3Km/mbSbN/uhS
aj7q4tUgm51fGYpyxMabWgCUepz2yPkdU0faXz2GM3XcPg7Yrq4qdWLfuo0LPmJytFxk/VBTdlTc
BxbTS2g/etVUuXHOWpC1o0FMJMUaHXv2RhCJgXNwTe7XIYHWcA+fLFkPnq2PCdFMQ+l+YeGa5leI
Tn4vPmt3/D6xvjOeddkqCDnt45nWBzhxsCLwni/ikKyQlBnIw2zEYajV1uvZLAehDBCg4fSV0QgC
U4XPoYWPtG4HLoBgYHkmOrgYsPf3y9yYowv9pThVk3hjDME65oyyaadO3kQjwY7MAMwoDDf+HEPJ
8b3r21PWeNYiNqgtK8cRblNDqitsIFpWLmoL39CwZi9oLRuzEMws56cgY+Ap858AYz7YrC6CE+it
chs01dOgIuPRLwu9a33YnWw1yPw5ut2WELi3rEAeCNoKkEqqnbUAN7xSZP52eNptQtr+mUkEt28u
7TsqHgHTU/+3lLof7S0s5nidjm641R6TaMvSGOgaTg9HtgvN27X0i1wYGsCGjHZzduLKXye404lo
F8HwBpQmu7jtLI6C0vmvZlSIbTxy9mbvDy/g4h3m82OJrqlECaKEwNUqdEXwJSiQ3jlq8hj9ZRJG
YSKCrdF7CmU8NqNzaPg8OdOwFweUCWJTMrHefcaKN72Q4x2qVjosrq0vMZ83YmPo55j3erjPh1B2
4Ol8Ux2F15uPZFeDHxk9yAB8Cy/fMtaKUxYmM9gnrVCHkI9aIPEk/jq0jJjh1NjECwyRPaNhBIpt
Tmrl2bI9f0EaDnwxkxB/GUlavBnsiZ6wlu+WfAkFJHvPMx7hCCW7OGqmYzIm87YQU/9qg8E8IgIW
UPfZPkB1LuDgNh0SZCtECvAhsubHNJmmH13i5NymjOguGtDLxYeezHk4poCLrW2Hj126m4Sepmdv
KsVtEBXFIcIxtZ3IqaMZMB4nT6ad8DW2a6qwcpGBTDXGx37I7V1PKdW9QWMxu0kH3nlTeidyseax
LTz31cgGcGxQSl4tO9iD7VYLpw1vtZc4ZElCegRqQ/WUrqRUV6E2MPpjxTOpt5vjG1tYMwYHrRG7
8NAAFY3HpVtzslh0qI4ZPhCHiymluOA28N1o60OsXsi+uKqWEyaT1pj3uLdT+kgL84lMZp8uSt3i
Jw4GGkBmg9asM48Inm8UQPYTCxj22rwhOpPhfmDgX0CStgoyEQ5oTGovkqWb+e8J7O21QQk660wx
bWUPxA9qTfTJpgVusIP8vwTESj1JN07FNleD3ld137xx084Xw2/Ybaqx2KaaF/EMIdcJQ5i1yssQ
qIcVnstRy9uhEf34XlpyrO9JFtTZg+EMobtqEUkCTiIc8JbM8BKq3gs9Bktb9qQE3Y4IDD6G3tiq
qkwuuT2Ej2Nlxl8zijv9jA4Bfuqlwm2HjHRfTdJ860rffuzGQSLgaQmNjR62eZ3EmOXC3Ig+x8FJ
DoZjW++1Lal5c+s45uuonPEi2KD+0BYD0nAoEXryeKwvkzZZK2Z8zWzYGpNVTbV1CJQ0ZcnWjdXh
fszFe0pj4ZNyhKMfPVyZLX3qtW2t5wQb49pscLiHOcly5rMJxUkqxCzo5yF4C2bbU7yvTC7CVceA
M2Hf3uh1m08OZSEpdy/NeJ65KnkeHksz8emdt+qKWL8b4WYxGLnVRuVCM61c4KNlX4X7uuyst2we
om1h+tVz5cvunYA5dZp2VV+0su9jAywEpqRV1XjesZ1C5qZch+RMHfGeuNHwLSz8ZH/tE36mwMl4
NatSeWvHn+w3iO7joW+HaQN5qryTs+XchxivIFSHY7Czk2xdT1W6Z0cd3eB1HXZ10xFS4yN8792w
JyhmOGc7qvSGodzWJIR5F7vJdGgdaV49f8mloCPsRBV393MyBpsa5Dz+IK9G43QzIvWlpszYVm5w
CiPvWxdGn4BIxnvGNAGkjVrnrNYSIjhpXf8LmC01Ul0eb2zphKt+kNGz9vzuZUi4czKjaF+SLKQ+
cHSsUwE66xBDir9nMvUV2pFYSqjMl5rt7BmTLdWqSOc/bMIAPEEHuSua1Hmc0ZMPc0j1L6zh4Tk1
afBsQPXe0sSTnMtZW+tJ0z62zs2qvRkDe0DJgkRKa0t03yMArKwqJtFGfqk6d5xJP+pJ2vcRnpDN
RAHWovFKfdej5e4Zabx0YozL1ehJ2PpxbnXrsYQpwkhCbtKunYljZHhkxk4s04yin4n6gNcegjxT
flQMyqr81xhJ7lvA/GULMqHZO3ChLniQYUmzF7ulgHlez03QnjpCUg8tuzxG2RTdbGaIQAdobnDg
Gy75vmG9d6uy+xbHulgHcxu/T4Sb1ALyE1pigWiO9E43Yj9xd8U8VVYAvOElUkgL2+za2jJxxqL7
eQNoNDlR4Bc8Z55qDgqv8TMFeRxQIyfnJNgXK8YJdGRFlnl2SUweAheivtETPRqnSp4iIy++6FjD
awzlQQLaSdpbkfPMW0xFYH16YcoJq9O5PoqwwRJPU2q4M7jQkEyz3qAypk3BhNVpG66gkVYv7VjV
NB/5o/mQqql6dLVs3hMjQltxfyJHaO0sXgn+BO9DK8CR+CHry7GBTXWeWf2e55/AkuQnvAT6nK03
SQqNKGwHzleqi62P3imc51LmM7KuW74TaawQ24X7UjqINCpvy5uQnRo0D9YO3lCCh78AzRP3rn3x
DVZv09FwW1TfgNOgkpPys/a9y7v+aF7ZLI30gnVTxtmO0ifILVeGC9MQc1GGcfWqXUHfbpobF5Wl
Cne+CDBXLVuW+HIJPq34LDH1jbeAGyK1MxycVIos9HQtFTOfyXrBkKkozf3qhe1tgIxM6ykh4bII
mFzBlsIu8pJyhlyFUAN2jRuD0eGXD9kT/OTUyKixcyTgXt9Moo/epB+bj25ScAHF5sx7MJryMtFV
OiIEhcWznddfzU8KTu1OxfsM6eCrZA8KoNxgGULxXkV5Xa5Ub2B+g6aThghbJt3TtJLBUlLTquXR
vBzalqqAK46Hzdgz4/fyAAT1QQSD3IZdbBzDBHyPHwLyAWWhVoYDWLSrKAztvEsbN/YdibT8hhJt
QivWTy7QGKR71RbFccAJs6fIgMsBNpg6zLnugLtG1vUxlWOBIrrkuxlzFL/hTjPm49hN3ikOp2iF
6KG3ph+Ij4jL56PC7D3jXSspJ4uy+uhEQp16TlAbJ7PaC+2+52mOzC3PZuZ1gcEMuDVhZ3aGGraZ
4cPAQJS6U1LcXTWhNwFFnkBeNZjWKjWK5I6dHS42wXp1iojooHY1KgJShpUPizQHT0yNs43+Nrcr
a4yyZ2jfmbPwB+3cszXI7GUapcGdTGKU/8Ftdq0d0U3JeGeF9YMi1mDivswCHx4BaY9Ni4+B2G9X
6qOt0RKXdieDlzrs5abRVfOWTJY4wf/BgkWLBQu43at7K+7qU82rLUt6HM6RKayTqAzodjhj3WPH
dGtnlVCqJfDBI0y46hjbsYczF2NdMVB1vpIF9ymz4fYOca1p18pq2NJ4tFRBaTWmYTHbVbIO7em7
z+RlBbzKWhKuFJ8Gc+J9z8D/wWFlWjhuR3qjrmbmk7OXbsKkCzdaifkOS0K8jaSLXcVMcu80pm11
PxsjaNSOZsFtZFjFzqEHgGFz5h4qVSVPUFVZBceyqdEbHcBriFfmgpuadJkS8tmJJroyhejZc+G8
tRoeZm0J/IraDY57IFu0NJ68tieAMGGQpWCGGKeoonGdjNl47wYSO97kGfs2c6qDUQoSqUZRfxMx
GxAjLONVkycxi3Gz47jOYCyv73piVBudgtQyme1OC/6oAM2CRslGd9hYGY/TVREl1O5N0ArWthVx
j5d0JC8dbwq2XVprkwcPTH8z85tnKFLmszdAf2dISVE3yhWJnN5J4rWbweIhkRdXjyk4QLGJVTPi
fmJ+X2wMUNnlsQeSjCRblTjtcsQPwFdpaLzQYdkcPDre0J7ZRJPVipL+grVKxwz9nfghcmegm5mP
IXOB1UgNq6SOu6/Ezeft3A3Ot1TOzsUb/dLcuCRQ6nWS4DPdKMj1KCF15IOMzhwJfwsL+KXxqCvB
tRrTNZB6fvXS2Vby0RtimsHoDcLej1eaw2FG6n+M7bl4ra1g2BpJUd+NhKcoOlJ1cw8eA8+YZEB6
rgaEOKu3MUCk7ZsyYzLvXpPCOfT9b0ZpRRsyuARVLNc6NJ7Mn5PmmgossOZuOieS2LTNDCGl3fMp
zEz2qxG6OXgOjD9++dC2/biiG2J+RL5UB6+W7tmaAPFR3kkLQgjspqEjwfI+UQ0ctQwLyUhfaEYH
xjgaNiDNQe/QkOnI1mE5vsaewwMCCXU6tbntrrvoPq7crluFheM/pthbbkKgnnbq6JT2P3c8BZIn
wQ5zbYWJjZjOB/GbpoTXPmKuGAGa9gtUZ3WPLcLCNDNMmb+idgHcUWuh1K760itSwqolUO1pkufM
9tt7a5LzC8L5cG9g3CEWa2KkIwa/bZvKerJwE9+RcrLXsWcMYlPSrUBZhkruYFVMnMsHz/nWVmmE
NcjJjq1h9mdtyLRGgjQj+1h7tFDyFWT8NfIw9E4xu6xl6xr968SoEfmfzfUmUmMCuige73C6Y/R2
7dTH080HcV8mejZIesrwMzAjopexbZoPlICTe4xzkT8kMaN4MPkcoH1nVjxOG7Uk9MxBaswtdatL
s7mQwxYXOVjF3WSoIoGxEtdvM3C9W2dOas7yteecBDXuyDhFkxS7uK3NJyfy5RHvBxH2HJ9GtGgo
rmZEQ+bukExG8D1O8/m98rl51hiOOHv2or7ys2aQ485kcYybdZ+9cLX1/bLIYp4EqJ7jXSOs4Ptg
tNcFjpsIn2z24rqW3FtmO5+oqXAPDPgB29d5c2Rt5wHU+OKzsal9XfklT76hgtjmGHF1D8/CPYz4
hW7soe33sxV1X01nY0XgsqW71fNraI/tOP5wkiBf6axbcYbIkmXrtMUOOL57UKzbq94tswebhO3B
kEAl53TqPouEouTlDMBnW2Wi2CW2OxYrEtz1u1nBq1yHnVteOCKhfhOSeEp7y7snIpkRGHTdh1lq
/qJZh5qwr18BMWIBxgnLuCN2G4NGTTGsOz7DB4LC7XeeQLm3uJZVPRog04NlkWsZr8smOmOcbi6E
9xTTA9YWSo87G+qCaNtzbrnZsTL5ITOAK0D43D07Y4GaIKa8+zYjq10fyL08eR19QIHLqQRI7pBd
yNCl1N/4iaRXNCjne4AyfCNsbuBSxs49w61inwkzujRSVUuZjmpJ7RBHDbvUa60pVpyjIbjL+8k5
8GMhLO/a+Bghky3542sU9OnajEtAOP7s3XbuPJ+nMf+sTbXK0w5jRFRCLkz86eRgTH2IB2vY6tIl
2hH5DxOcMNpEs6tzB+ly3zaC2K01jEQycSA+kkZlX+G43DzTlUqWcV9jsG6GTc/xlQlNh8JhYEPc
t2zbv7lR6ZwDIUzsHdaoLzYbek4CmSKp4oEuXvTjWB3iXlkwyP2wgcsz6humq99Lncp0UbWNuotC
6Z4Gp7TvR+SMb4Xr2WqRwpxrOe4yvok6rqZBhDtWVZILceERrUdTwAcnvyoqgWjtEDXpSrNsaGRC
dscllaphyim/kuGxM9zixQp5ZNGMxJYlQuFMTTkAOGLaQmDFrJ6Zp7b7nM8XG3Rb7ka6olfCFdba
I85cboWlbJ6m4cjQqm3zb44VEN4J5m6dOZP3RRCbzj0jxabP4/5NkLekr73LqCuF50RKM1BsZN2E
uZU1d5xgpBkNxwZUKLV4NTlLpjnIvZV6r5Rd2FiuW2MfGMS7bTQS6ofRMU7tqFjkfLeuILs00YOi
RXkDiWR4jN3R/iyHafyI2bY+wvjs9MIhz8P6H1yTdn5CZe4MoPZbnTK/vAJUAECx5nHCyznj4ZFj
Me47z2UOk7YWD5q0jU6DIcRHZlGKsB6qgDCAnnhwTYXv7AMIbkd+KSqoeAZTfFZRrjcp3LdgB8BT
6EZRYl+Fkj6yJMiml5r+d+Y2kb+RsuKZX9QRKUlH0OBaBtIIVq0bz6cuDq4sxkGmB9d3mkM4NuRy
VTq532FZUgXsCCZ++GVLnlYyroJr1flE8UweR3qB0IZXKYl4ikHyd65oa6ez6ht/HHkZoPQ0Szeg
+pd0rJtPWa+Zo8giBWDsjuWiDQxjj8ie42jXzfV/GLjpcJXG8omZrZURrJbQS/JCqU9McsVtxQT1
nocXe5eMx+UiIB7U7FuRm+kK1Mj4it4Mrp+WqcfwerrKPYA3XeiP7dJmPrgeYpGuxjgTJ8/v5Wdq
4zZukfs2lJ5CU7Xx+AQbhYtg6SMOH+dcmAccxOMtIWYQfOZVJM+jkogNaXwaK03urJ5+h2S4tw2U
UQgYnK6b145N+GEKCrLiINbXLSTr1TDV/Q+zUsmpYztxS38F69dM2YnriuKGOkWJSZC/Aw9GZgpi
r3gVpH8pB4vSEzkvuS5bgYESsxsBYKgKr1FXzfe674ubkqoFxuimsbZlkO8z0xXfs6oH5ld5+ibv
SpxJc53oZRUP8QqE9fwdGlm0Iwrt7oELw9PrAMkOZReq/x/7/C/FPi2cKxha/nNv0MuPpv23xQ9S
n9k/OIP++Lk/nEG++F/4mj2SxS6Zyl85XB7RTYlDHwaX+ZPERfL4T2eQvGZBWSp94cKpYmXhH/1f
Z5BJLypWI88VLq2qrv3fcgYRHP0HZ5DDDt+nxtVSkhZWKAj/6M9xr5WgGeP5rY66dFOLxF/0If1v
pA89BOtp/8vH81eOIBKzv78em0IJQoxPhDjrb4UF4EQDCwAZ2ijsv20o0+SqN9b3vVlUawoSh1Ue
zMzBkM1Fw1CjZ/xCHWaH2hRkS9YSi50NVO/Vv3hfvyPB+BxsSbDWFkoCTHN/8yldT7jAOzFQoq5/
awvehzkg0BOS2FEWdfCBwG5LBMcNpMRxFU0nRfL08Pdv4ho0/9WldX0PlolgIWD1EDf+7T1wLHWC
Mem8bYU6v2XSExw89iyPf/8qf/GN2/yqbCQtHwqbf/3nv8TdXT5kFvvEo8dM7VQ6vHh4m3ZDDG26
Hmjw/vtX+4vfSVloLHzjtO5yIf3jq2mpTTEmnr/1C8rZRo/sK72j8l+8yu8uMz45UMDw5NDwuYbl
b1eVDGiGH1TgblVEeKlOET0oLb30efz973+dv/jwfBNDG4UgrsLq99sLKWPmE71evkGMApQbyRf2
HKZ0VnGmafX2f/Bizs/eEVsJJX57sbGzS3JptrstLbrfMtAJi6jn8ZXPGLbGxNn9/cvJ63fx2/WH
cRHHlc2KABvvt+8qNj171m5IOZgB+kP3UOwHNxCXDEAMSYsoXVUIppuIncZuLpNrtV0efKDWUSFR
ME9C/tVbq8j7lZU6gQm7DUehY3nZSin2262sKI73ogLvExAlnn85z/YFFSNgYUr4GcuqnZmSqASO
jEice53n+l+wHsy/uM8BuzvSl4i2/3w9DvCzByrd3G1YRHKfKMPbT70Cd9mrJ4PqcfJSDV1G4Zdr
RRVP4lQ+kp3z/sVH/VfXq8/Kbfs8xRUz5N/uigS8DjE5f5tlHfKKjbtEOPRNkPv5FxbMf34lH9gh
51XP8hSf9W+vFFVXoFfi03JCL+xy7IjpEcP/Rohbrv/+8iH6+c93x5XlCFqSIQnk7p///Jelpc5N
y3BlQ0UAO7N12hvx1ao+njkjjRfH4EKQdfvIaSZfJ9Bn01XrCQDQYPIIMZekm/2mAgHnEsbgfK+c
B+J66l2hCOwYPbTZ0qq76cFvWvsGDag8phER0ULTkrCoTBoCNxngPEaulGGI3O32pA+8XRXZDuo9
A2CjbuqV1rVcW0rjya47kZnQ50sVbIdWwpHPTcprIKLdFcocsTJFjUOZ4yg5kXvxXSDy5B1bQb63
cTmsRebPO3o2aQLta3ef1q37GluzfTdIfvG5wVNkBIy/aSN00PNkcDKTCRd3a62zoMqvvaMaHKKJ
Fx+vzaMtdUVzTVG9e6HwFmTeYdRGU83Zu7yGdIt+uhZUgqMVbfJgiKq+80QOrm5kdk68aWRsOA5W
/VqNfXDCIRU8R/4cb/u89r4T82VvHgjrLTWSlyKTPl4BoHPHpKUyi06qWzePVmi5O8s28l3Rm1DJ
dR/KC97eko7MyPGOwraauxkYEGOO2tk2tU63/DrV0us5DcGlQ3Kdyy4DshWTNmKVmm58FGzcdilD
GxwhARXmHRvibVYP/Q+2THwmKEE3EUWrFJd2JhanACSlsmTHqNduXkzcZs/K9gDh5apqGL5o4T+z
bZvgXxKawdOV2/uuw48x1LgxtaPsm7p38nVZC+A1MckkpvAzj37mBcj0i4T63W6V9l68k6GvN4XH
9y2bno+vNxqIemREQIoThViI3ozXdqXUW1TJ6ej60n7DgSg4pos0uusJbKqF10OQ4dwuoDmxeIys
nPakGWXng//MyKHNni0LO20vRPK9ViQFFm6guOJ9vGoPGdorJsFoqNYRW5xDThU8Ni73aw6ZiZHY
peppJUBZJ1tPVskM7qibbmSa14fZaZ1yFWfDxC0EOStiyLuVMxucBetB/uFYqvchw2OF8q/pIA3Q
jPxI2u16IosnZzYQ0BI79LclYya9FGmer7wiuE27MdwhFoMWRrzh/UYD1gFEQ6zRyxxTnL8ACTrf
yEFTCWLWB3xCVwBxkT9YxYBMEE+bEbPWoxT+uGak3G4a3ttuMMpw49dUAXlK5Hy/I+x2Z+T6yBjs
+bBBOmfj0jf8jHblHq2p/oETpV7HnSYJDlz8mx/4DBEolqz3hom52DESCVy0p+7KnBkLGfhnV3UG
EDzFwYPKVODYGSdGaIVGzrLpVbaaOH+nHTG5TQpzIDyvg8/UmlUAi3kAjZEAaM34ih8C1xK7JDay
9TDBgTVGnsJsRfX3nsHlvfSbaecPRk5SpPPWNemaDQQ1nIWwOMeeDeI4m/aRVr5kPV6ba3SXEECr
DsAhPYaoXg1/bh6IEDShBy0ieMJ4hEirzfDOIGV0xDfrvyNMW3TBqnbNEN9SC8hW3dVGQm+NUOUu
ylto0gpdW3kGvYIp9AunYnOMxBwdw6p/9TzqSb1SoO8rJptD13WUoszFqc1w4y4re5hXJYlQEAya
/ijXQIy0u4QBPOTCBVndW7JO0bpP3PkBikJzomwg/hhjVlyBLYc4C5XTdZ2O56YvB7J6QCUqdKZF
Bzj+yaltDP16MlbF5GI59JPXzvEJxTX5uAR83kAeOQdZfsEKRR1FlDv7obNwGqcJDcmEBrKO9qPS
coYfcC1bJIwKhZJ7zTBfmU5bJztrTkMA1turEhpZBzEtpT2ZN7Df7RB3TZRtdOZy4M/KYVPaPjlL
kxrqBPfxAsGrv2CyK+KNtt1mkbVoJElhfI2UyeeDqx7ZJM3bjoLV69jheXDwWpmmo9bDUJonu2jv
q1jfWAlKvWsaaLOs4JT2Fu9mieUN7/ZoabqlwrCk4As0DZnsVRTP9nqUA0JEN1i39dAFl0LQKwsS
B9+YZ5/sEi+Afy0toetmpKSiq78FfgApjiqapTPNZyZr3iYhpTUsHCw/r4XLTMzMwmmD74GuFE8w
kF7ahUFQupyK6ol92Xgvi9jawQ0OtjqmRd5ksblFtKcpqzb8h4jf943Qea9X6ZhpPg0np5e3QXDA
6ZB1FJbjOw3EWk067dcOde8+DXOze84oTcSyzuL10ke6+ZAGE34M4r7u9iFDEo8a6rxYts38NeG8
XoTx1W7hdu/0zZR7/u+IfXtjs0lskCiEaGpi/NmFtX8lWHzobxX1dk7wikrLT9/gKdUHfNKI9908
MxS8GkmzMNrEMS5G0/G4jQd9BEA63mEofu4lqFD6c8lVDaRdeMifHXwXmwZ7RMp818RQGTgDV27a
QEpz7fpBOuLBjSn2LKvEWBBeFztSYpSIT429y+uu23cgVFnluwJXOqivbU+R6TYsM3AdhCIpQaVL
Y6CA62Zqc3nuKppCCxEVb6VnN+vaVnAxpgRcNKvFSEvfFw8khGRk8N3siP6JECEJkXhUww+dUfm7
KEWRrwAaQ0SknIY9o5o2huGVYGjLfD/EzVcpZXkY6U9+sEy/3mBVOMeasslpVqDhfAuZzTSN/pnS
1/BLzaleR3w3dzU67d5VdbAxCl9fZhDzRPODT+3X3a1ZGOEmi3EqOl6CpR1acrqjtWy89ixjNaG3
AyuXuKf7zVs21v9h70yWJEey7PovvUcKRgWw6AVtNnMzN5/dIzYQHzEDClXMX98HxS6yKpvMZm8o
XHBXIlkRHm6G4em7956b2DsoZhTDR57L6t+Nq1PmcSUEo23uLKdrV1g55109pvkNvUBIRm3ZpcMa
LRnILBC6T3u0i5uosvN2V7V8IqHIin1UhdbRZTkP2lLc5G73Nqmxvoz1eDsWtf6CbNAB+XTkZil+
RaW1bzsHknEYaf3uaOFh42z6Y+lN+7w2XgjX4NPvZjyzGG2rU01B1zaR5LrjTpTPox7bW5II7K55
CR5GGZ8qUJ3PrkzAwGCr3zRhr76aaph5czMUsE6t0zUrt2EjbZ7NeS3iW8rp4nurJ8qMcikgF9i0
5sA+qTcsMvo71uSvcoKIUxvdObH7AsbGsAWsQXyozSVw33GjagSxVV/Pe9xXWE2RZjU6zsWeEQ3s
NE3vGew96mOyaDPNhGBWlRNQ7jNWLzoz0p30q22fwywX6aEbrPaIPo2WhxKHm8DHMIw1hHff6B4o
RsL5bVR4QbD2156/mwRhVoL+RnAKa5JHtpPiQSie+pFMAMWLGLUHj06AWO4Z5fNtEOOgFklGQQh6
9d7h569U6X22jRe9+SW9vxLghzlMAs/gfMB/8zy1GlxIjy/O6F6CzO7vErp6+Wh/hS2VlE5ifFK1
82I7+QWE5iMwD6INpXVFpf+O8281BP0ec2MHdzF+gpCZrMpG4jvwz6lnXQwbvCZVYPpcKOOsuILw
qIY5FX4OEsroZ7sYmz9vKQynst87oilfZ+eLVVyxC+zGWltDVq6LRuJj8Sb6sEqdPnU16JlWV890
ur4IGo5F07znMvo91t45oTzBtb32RmODol5QIeuWyXNihwevLJ+GIKPerzki3hYkSatbR+T8222S
GUL26G5o5ysoTMPKNrps43rsL5LGJrg0NLtBFA8Zd9URueODtcNRUK9nBI23wtqKzN33YIiT6CAs
u7/CJPOuk/T1NxSxkKWZd8Q6U57C1FtQqgMlTEP0gZufgznH/ae2wZm7HPK5ZYEBfSazJXelBk4V
ld5OhWZxmvICn2A0JMsoJRo8EVhbkiLoyIdU2SawcBOEVXWxXRQNXY3MKpJu3aV5fG/EHBH0kOac
6g1mGH7hzCaUM1IYvgrgixCY4/vm3FqvBsN/DER8dZ0hXQtb/e6BnOuWOb8STJ9ljtWNfuuVJWMG
eid8SGbn4mTRaztVtyXmn1U18r2DyDERLgt1TJJZ8tKvns0WEL7qiWKNmXzLKD/ZkDCQ0Gc+fMN9
FYXZrmfFO3uSmi9N5S/SdjqAF335MrIMXU2eVxwUrrADjYm0j0KnWcmGTqe074AKuXQFdyxETn61
KFg+HUFNCY4ED+zvCjli7wrBb0rnAKjs/upZlJljgcLfS9fTjw8C+4oyyXRHl8huwhmyM1A7IFCY
l4ozyy7j/HMaqojhiNCgZ6s7GmtIVMugeUuIl8PIibo9K5ZHykRrInHEavr4luhae9WNgYWSZ8eW
VjhxqUObYCP12Ok+xVR/O9vE/lQ65jsTmyTTv3p1ciwXHYiPnZ1CH6BgDBfkIMYnm0j8yq9IZw4K
/wHA8/pz5Jc6+covNmLkK7WtTh7sxOj2vG/NW9kkBGyIp53K5lBNcwYRH6emOTXFNkbAv+Tks1+0
VYuXYPS+o9GCemlX/T4pHPOViFt7oGvVeJSyVx/waeK7VmEOICIDOQy63R60T78fS5AoA3Yc8CO6
3LqscSCXJj7A55Q+qYFpHo6Kpf1ncwlN0l3q7ExwIgCO2PFB9tF42rtEdkddFuYKx/qvqWFUxL+a
f0ZxUm3TxoLopBiF2sXuFGIeY1edMStlJmmGpvLQ74Q4SdVOv6j93nBgEtuC23eHr7o7Lh0I2yHD
qKPKeLxLUY+ZFnN58v2k35C9uk9YRK37km98BtZ7oJzW2o3sUnLqNztaAnR6cUeljjR0bimNG3ch
NzpnKeyehFN6TOCKuRLB+BIOHQNuVSRrL7cG/A9RcpRzr/DR2WJfFi1Ycxritx2Uo/3s2f2BlG1w
okMoYudSo7WmTPMcwB4HbTvU92HqFmP7NYbO8GblMUrzXFyaMYFUm85fHMfVQwipFO+jMrCEGJ3e
WbnqbwxTP9u298qP1Scq5Y6JoDccIjV9xNR6rRWk/mebzIXmi1LJrW0a7IYqfOfbsjPZBZUGBbdl
SjlPUHH51LXceUkdkbPPbPe1i9GruQTl61LARqHhAh+hjow6U/hj6ykT1T27iupZGkO4VmEi37M8
cR5SyIV3dtM422TiaIjVLVV3uR1+AFsNH9jHUdYNtRBDlqQgMJoxZ1C9zIKp88+5rtQZY2i+FeGI
dW7EwyObSJCOqMu9gXd2jem8Wjm+lZ6mBFcNoJfaXwVUUgIgm38P2jUPMT0gb0mtsKRnmWLDIT5Q
UjOGg3CiktyKt8i38lo4EbWBwLrPyJPZOgid7Mjldw9YVForVcXNYUT/O8d9RXy4rtMbQszUOBl4
UucbqjUB8bk0rt1PMJu+ehrr7JOBlWTfD4TN1o6Y/TeC1CaErMEfva3qkvSHRIPy146cMnlO4naC
MkZYcF2Yhoq2gTG2Lp1rCoSU8Lot3kJOenM7P5k26DrZF7wdp9zdoJo8ZqLjmRkq+p8iCAX4/Jca
c0qfzUroda6l9xzl1U3eQpYqLXUqfPwLdc67g3u1mC+VKkkc+VRwr1x/1njjEL9XCL31Cz9IPZdF
Vb/ly7PTqsvbumrzXVZJ/+wlobUjZgWaCQh8ReeydE6tV9rb2SXauHHrJjrQFdg/D800P+ZR3zyl
ueNeTHgy28GA/G1WBrgSI2PLrgtZHCwZjpR1+mkHyyeaYXJPFs/EJR8EzpxKOUyGpLBjfzC2KSZJ
d+UmRrYuWhLvjR+zS5+aPNrkwEzwnHYdvRGi0QWC9SDfMazb3vKd5E8+z5/brgxoIKo8o1xFHCb3
HR91cOb9neS71FYPkUfZt5U/iCAs92GfwJ5if7mSoRlDx+zu3BhLC5ucfq2jnlau3rhl4U4qHEiQ
pqdyG6Mj7PDQovzn5Gp9yBILRHHd0S6MpZD45JgvIDDYeBcPL9Mqb/SL31A4v0lySmB1KcW74Ch1
CHusFYqO1e0AbAitrO0eOFJG3P8l5X1Elqm6kvyroNgPE28/2+vGrWHl5p7Vx9esifBR2jGv6nl4
6abk0AwtrptqwicaROadBpO9dcLABIJp5OQ48YlWbVXQi5s3JydIiQ5V3RZ75ilySVevuVrg37EV
3rLV6S6+zuyPsaYzdVNmZWkxg0/+njYuOoHp4Wlv6GDt9r5PoSgPLzP4wvwQ7kn4ylfWH/K+CnT7
EA9B+0a/Unblk+dczOpuZ/XKvzLLDUvwOdiV3H0bs7e/2wSOWjhb49WbqXpYkY2LPtjBMuGzL5c3
lRMThnZ55pmrXvu+vyNJtrSAxw2ggbwO2/YH9Lw1bsnGziYMuRHZsfQq7ArakeEz79IOyA5lglgh
p45jMNUXaj624SRJ+ZYmkmrQEgajQfbSenn2nIs+2lpJ0Jx1LIZNZC6KS5QavycYoSM2uG2R1Pzt
3aAfvEG6e/AE5pW1iM9frSHLxJqNnudj1aIxtyxDvAuNXVyBjG3LhOIGlB6YBQqUv3T7a1QUGyps
NI7+bMsJiFJPJX+6WT1X7Rg+g0WqeO3GpOPxfely41vzW1mNr7OGdOi2ub0jQbExltKnQLbxup7S
9BTX7IQQdI5xkRovejBSCEnsLlm7E+1K5hR0+0jgLXEBDXDqaui+PARmyGEWvgyLl0Q5RyZYqI+p
Ami/M1veiqtaB2CsPIpSqrUK2mxFpxPA1cDAOrVCVTFuaxqK6p1plOxx2GgkjxhWvRuGvvpIc0C9
xW4vH0UP7hRMjbBgYpUalZqFh4gAEdrtnXYItvIAc8STGcvmoPKYQ6TitFJvnMhVJ0JOJkQLcxp3
eaDVqolZa5qDL974vWbCpiWohKaj88KZe+xQnFgKvGMxgRrYn87XZDcMvQRXQgjtFZwMNovyOZiW
hyUWQFbIuRM5P67IsZgNxBT3GRoCrzf2Ja84pPy3dkr8s8qm+kL+139A+PSPwnacZ9MDAbARnpFk
TNUuvKW20OEvGonrJeJTVkccwq3JtW2mrNMES7vOA7m4ynqCFRuDmsFvfFnOMy5jEyRxJn9yv4Ip
0Ia6vJLIx/asCMRTQh26+RcJQ5PWAWy1JsrIYwpDNd7kiaF579Ti9+S7/hVjefFR+HO0lCbH126s
XXw6Dm5b3cXle+aF80lSmIH7dghZQxQGBya8p3RvhqS8HkOSXpKAt2u9a2xWh0G1fUkAKRF3uRmx
jQgaHd/RUMNuNzF2NjiqF1OH7U9d2fULIlL0WtKX/Mvg3t8amk8+4+PMiRj53mGq0vk1murkDTTe
goRaaoBtZYh3tsDu74K65XUvqViJFs+0qxnhoSr524pL5CQN1+WVUmdbSiTGH7C3w9pgb7OuTNdd
aTza5XqCV/ZiYF46OqM5XdQwhL8y/Exr09ewBacgPQnWzICGjJamqFpF7zNLFm6Aumh+BVUbnWZm
bYbqGZBmzgCIJa7UyS7uvSdeXtV3X3X1Hdkcyr9tpqCV5ylSZClDkJUbv1PWPRjxsVGwuzHx1gLX
2Pd0udzi48DoxmO/2TqYzO6Qy6ijGWP2XV5aMJRUdikfJz3AqsqngtwTTToUVdOLe7HboTi6wxQc
F+7GKcW59QUPE2Gwhk3QrDPLJydiB2nxpMPBNDeE4OsLD4xAboAFizsbJm2955g82uvebjhFk+DP
6IMCOsecLXz708rUcM/Cergzzah59DDYfntNV1wo0MxhF0TiJ3S94BJBTj7Hrm8Ya9vqnR+PSMI3
lsvBhS5Qd78qrCdvmVLaB+vqK0HXw2KhnAbXjbD4UU7OpRpuEgTSJ+018COD2oOV4kbafDBU677E
fll+VbF6sUK2opVmIuknkqJk/2KL4IPX5Hd4+Kd3upkTSr/YnXbMU0T3fVbv80G3rPW8sNfljmMA
H3InewYMQ8jZPGVJ45abBKYZesMYpbfT2HoEhlBdeUbEVbBzqEC8IU6gfNpSvHY3zA2XTkmZbbG2
A142gP4QoinNNi9940KI4JKwb83OZ2Hnt7BIPeHH7x14h3wTK/0GhkdmG0qIkmNfqvoh4YsKdm6g
3WeNQDhtzbLxvxiN3H4FG3X6zPD7slwppJ8dpE8d6hrFmEpXruZM78kzL5tBnIRi7YeV+E2QiEoh
ych/E0fOAPFwebOFYtjHs8HW3iAGeor96UMpAKIox8O44mjNfcKMxG+AmGDZgnANr1z22CM6DrSW
Yi6+VDxErCxbqnLEhFXEss5U61HEoCAPiL0D/SkBQj2N1LJ6CsHD4T88WW3fdys5uVa1lfGCye4s
n6JXGrtZnWkr+4y0Wxx9N/XsdRG3dJT5OJi3ZRE1nzhBgVePLkj7Hulmuslzg+7poRVvNJnw+qDY
O1xRhV3mB1XkzldW0KEzKbfigDtP1n7qy2rv5L1YFxmgFhzJNWJeUB2HuEMo8xHT7gQVhTEaZMfb
REf6c86kxYhnG+qV9OtS6ck0ATL4x+mt8MYz3PCU4ba6G2YHzB+/tl7iYuoyTZ2xQavljD/R3iag
ZhiofXvONnVCDbqWP03Q07MaFhmwksC7Fui+eztu4qekLB0KTkDEHjJqU/odun2yq7T77tXm9GBA
tPg0BKsdKAhnos31V+c52bPjJ4V5mIc6ZPnrNm+QD3BVxrV1W8jaeIjp7/pPjBiL/eGfLS+h6eKC
4sVtk+J3F/vEPzgWktz0IZo2wXKmRzzlxHznC5yWRStT3tuMqtfeMrJns+95lf61YcL9X9klsKCg
ggLlwnjzJ3/PbBtQPsIx2E8ibq+hkOrQK42KQBc5sCPK0CLOZAjjZtZ/DTOvFNV15U72uUUJtv7M
JfGKADDuupAmWfgKganCUr8bGOPRm23rDvysw1qmFICgeaPOByXc+jS4Gc5ojS+VLPpq8NgNOji1
inU35IToydrSI13AIiWsZu/LMTfoD7aCjVi4T53qXCYU72nsOBx4w2TdNan4zCrIUobft4fG4IGf
1SCqVhzGsEqNIDH++qOz/6ONECwa/U0OsAy2g/6fTGwllxIfn8u0joeSc4N557rjVJPrm46VhWVp
oK54ciANoBF1APd1N+3CYssUsHgMhqXpOQ6xJSc9lWtdKbZZiBfbJOCwrkeDzoWO826RMwA7GUXv
GdVgf/0rLEbSP196oYeg5QKRx88QLM65f7j0Ut4lsg9VuDeVzDjihP1crEH5Jjez0T5YYy82PS/n
NdjX5GSZZveN4tUdlbm49Vi4eRZsX1sPBBErfBt//a/7j7a9pWtEBFyXdCF4fzYJxuzwhCWgesKT
5Bk6OnF4Jn+u/pMfs1Dx/sOHELo4HrkFeLRbf/oeJYKxqyMZ7pE/p5zXt08RKASxzTgW4sPmAM8z
Mqd9w4qqDYAV8ZAyhI4bFuMg61o7vBJ9yrHNcLNIryqvBOsh8eTRjI06NZ9km+uXv/5orD9/Njyv
TcvzloZc4B88OP75i2uKZmYhwbXXa5uHwmxX3to3WQ4C5yDExjHkJcyvtZnWgAoWJEJpm+ukL5LT
5E5wUajS/vKycDz/7d/1f43N+E+Qx/13fftefus/Yx6Xf81nzUD1/05XMmqo6dtLndL/3qf9pFLZ
qfd/9Gj/zz/27zZt+4/lWWJZJoZofLg+9yvui/Zf/yW0/rA8LlBuB/67by0eur/btN0/eDgK7g/+
CF6MxVKp665N/vVfbPuPkFor7m6ENyrDzeC/UpeMxfSf75TAxE7n4i1FK7A9EZrLf/+Hx4Wsclp7
CTccXLhk6y7HDWEMwaFkciPNMb4FAktXT4wZgYkl31y33yCvXrMgeCv9wnyIGlKvXjN8tbgfVznn
gm07CpKyhoUM3TbVY06M7IZ1EIWCnB830IMxYDfZvZAGBQJ2n8CDwBLNoRCFMye/nE7Jdqq9N8BY
VCN000Ptmt8l51NrYjFKdTnUsBDXy5wbX27s3LK2ACxb0/PMipaOT9GPh3ai6JPPMOKnxv3vVBcH
QOlnVWS4j2C6+6tSxFCBIvKTNhqS2SCVEemuQDv5zk2buZz4DCnOSUWcbEWUuBwg508vURg/mWn+
PiTqLTd5m636dpovBmtGAsQj0Zma3rWkmzokKbd7KCf651XunqWwxqMN5BUpe6o3MbxpTv9Wim/E
76YRaKxndT9WF97qKRZbSzn+PbOiyQkzIQcFonrSXrmuiMZdfFrgwVLp6MNpYuMgXPKBaLByo0TD
UX0guZErS54o3RQfrZh+qxGOlVNiKZZDT2ljWPC/Kkd+dCI0LpHozWMI0GWVtkO2mQvPBYlAMRxI
mu/MYnlmsOq7Klz8uyGG09FxPMRVSrQNAIO7zRPIDEPYqFNTjvZDoOcvKfGK1DmdOEPR5W9OPb25
gWTczNGA4UhgcqYak0KWDtQ5A/E8sYnL++KHQFl+8Ovwd9gW+YYlCFHrtmDKGyy/3falSb8Pi17+
X8XBlCq5Sf3iKRXiyWc/hB2SfAxaSPoEG0tvcpSOrYakdsmauHgYWjIyVtnn65nSUxI/CdKrdJ99
5L6tj1B5YfR45XoNv0ezarcmaUWkLEqhypblXy/1U2RET6RxcaqMWJVmDerFzTe9yYJPVxi5iAH/
Kth+H7JWP1ieHLd5CxEccpbekbVpX0z26lyiwUM/hU9Qou7gbXPNcr+vexylqNecXfDwmeF+HHUc
XTLHbhSLzZalZrRo0/Gk5J0rRrm1PMOgpCgvSNLbxbZ24+FYpiitgmvwSisCC8zYTQ8xfD26SRMe
Z6Hez60kZpSBNg0K6gc9iK0POnODPWXa08rw9IsV6/GxhHJwGkRgHqwWxFnrimfLzGzO98iXRZan
a74quJXeBMMqzzAihZ0R/VK1pFYvtxvQhTo+zdMgmlUEeAM2o6fsTRep71qy14vriu6ocQ5vYXyM
9/Hos2oa3Xw74tVCERcnwd71atKet6HIi3KQcEjvBwtFaJJBdzWzuew4oM6f7RQS5p2blRh8zCtm
xvFVztZ9lLcAggyWIigy1IGZIUU3OvIJ0sfAr1rU/jW2NvyaiVdBdi9KmqTIB2/w33Wvkw7FM8kn
/4CdBVGKQt+1YSLye72Z7VPXT46Z30w3je+lz2Eqm3NcN+ROE2+2HwpAjbdhqdDFOca8isp+NRPV
7moxgW2Lq4PU451s2e320gLYN7BDNVKNFcfpAZmnI0SlIDFWtDbIjxTq9nePnHj1pTOcYDgNh7YN
2HNQO8RsDAPfmuH1u4W8NVRwgzBvb8CctrEZYocrWaXBGF/TF0m4DlY4nQcOZ+sR7UD2iX/jFmXG
MS2S58hqs2vCPLWuze7cibTfl27bvFZm163sulS3bTN1xNEVpQCpZW/LhUfRZ3P23MNr2y3j8UOU
ELNlZtrYQYWUNg2wmrLunveQcezoK9mRSYg/cIvPB6sgjDdSTzI74GFqu2qvNKx6myCYgWFUeAEq
Oz2PQZIT73bre482ClaMbrdSlg+P2vftlTMGi1fFmuC/E4iim8HoNi0F8ozioHpMlavzaLQwCtkY
rCKkWFzXDk/h1Pu2LFLcoSistRuG96USn6kdYHvNIIm6IYnP0ZTUZCBy4avTM6FM9rtlhBQFre7F
dGveisu/wS5QbuMUQbBuQ/s1gDu3JtWLyTuaw0ueJwhtaK8uBQlOPHwYcVdmiKmDerJl8OOxrSrR
4MG3HIIhsbbQnq8opeFq7FFGNlmQDCTbk27XBxyZPCN78EGwXnxTZJCqAnRC2xu24Zy8ELTcewa8
QcE7AX6qEf6aZzbT6M5f9cgFJTSGm4ZTRwb+ZFMV5u3cz1QeNFSWSZE961bZx84wkDaXbxqGX7Rz
8GtjVuHR04bVV2XPH0TCf/c+dRTUWjqs+m0/2bIrzBawfnoao/guTRqA+GZM/ZZj36eWcNZT1Afr
Go7thpS2u1Iz5BU3852D7nNF7T0J41nHeN/I9B6csX43DZ5Cosw3kR1tRet9TNB5B9f7ovHWA3K6
uNkc7+v/j7v/J1WUNubvvxp1/xu+tvIfB93//gf+fcgVfyxZLPbt7HHokxT/g1IehH/43HWuL1zX
dClE5b/8fcj1/yC77hEjFfxh8kEc0v4+5Lp/WKTluHQt3/OQta3/ypCLI+mfhtzARVUJ+UngykPf
5Wf9aR1TJ5ResPF3Djyb2OOi6XGXdVbkgKSoaUdfB/Vc3AVplCT0PjgB+Pt4apd29myBlbZ+r1cQ
a3yFr6i1sPabUCic0usIpxtdlO5h2xqHIFT91rYs93tiwwxOsvLTk+sVHT7Wbnlch316FFW8zQBY
3LlpZd+H2hJsuSeB/92oQL9RgMdLf7yAzHkMXKnXfILT3pSW2tS13V4yzTaQDXXmYgAnmHNi77v2
JUyRWQ0zPl6mC7slmjCroN75Uz4jrHdLMoWyqboJL1FsWLcEEuK9OyfYiNL0ZrKppMoMtn8zosSu
9pwviXhMKlJ/VmVO+YOEPtbC4151YzQdM0lp+ByGwymHmPEVNjCQisnCjWG17/5I8ywJVKhdHaFz
psLwEqTimxHA4u0xfs1d5+1MUE/c/Mat4JlcZ/NHyKLXAKnXltHr2DCAN8XZ9bMNVNQTsspS/MW4
gAXq062DYReNzhe73r12eejkYoKwy5YG+sdTHC6prxSvkZcvAi0d0UzZ2WsBgGTb+v6byMxzpgjb
B6BnUQ7WKX3YW2jRAc8lAwLYwIITt96ppMcRbK67Hw28Wl3R3uVKYvyZicHTGk0VHLrmxzQYxYY3
h3kP1M++Tt2yn2VL+rvUUChXtejjTztCt0uykb+B0hMIg4P7qVRn4ENvgmsJ1PDGGcX0o/BkruB6
OA0i4ghpWpbDWSX51bRk+gO9GuPGRA+GFTMylhrQFipI+yXzDv9RYDxYTXjKu7ZcW7EFlno2lHNF
n4wg+gZ3ec2ANYj5IUjq+9w3MdENPsS1dDh6fQGbviH2sTLzyL4Le/w6qTd9QoEZd4FR/AaY11/0
0nxkFzNbZtb5D77feVtfNhlbrQB/jEAGyOSwrUaHtju3mm7a3L9ahus9tLQpWWffpwl7jWPZajDu
G6mDxEd7+a4tiw5SRDHExhY9gHkx6/llNwXKL5Qm0YUI4l1aFrRgRaXJBJoJfmF29w/Ua7HXz5xS
95s+dZbjoZhNc931RI5X0hzRmeD7TPFmnhMsP75VR/4mKqKh28aZBYeGOH4yrlBO+vhsuGnZHjor
pDAnscErkYpxU/lq5JmivtKoQAbggQjoaPKXw4/dB1V/6yXszA9wd9R0gyWlGHaYzgiA4TlSwWNp
N159zL3CqH9kDk+Yn5uF3AHg78N1TEspFVwYMmCQRrSHbgFzUAQEp9ar94kjJoC/nK7FtrXNNNlF
pRHor5pDM6hhC1DBxqpRBgE4hN5v3DLTazVwx4RtFt2pWAUTBUVWymQMF4mebhse4cru0VjXIhth
T3g1x+mNnxd8WD6zhaL6FFk1fsaBxh3SBtwKcIiY7wnh6CxuvwdKbdxNmgzUqeVZauV3os7KbDd3
bhVsS7ha8W2SV3z77iST/ZJya7cEadkCmyKYnc2EkxIXR5f41lFQq1h8Nhi80l3o58judgkjYeX2
1vxehX6KK6BLHsJqJiFQCH5gJ0n3cYTjF5Wggo5TNCpv1fSYnhiZhWHbvyEQJ5cqdNv3oarZKRfJ
2Fy6WnfgSIM5O5ajmN+Dpc4kYQzBn/iUtf5T0rLrqDKyCVUz/YIS3+zmPCnunczisQfvaRdXVfuI
il3v+l4Hv2KOZQnlD+782zLnr0F01ASYXfUSGWrRzHEbwLwoVd/eCP5eQkWINmBsAa325bnFRu/s
QyPiE+0nmO0iJsa0AlLSXCdFg5FB90y3jwfZ2tjRYDxs7Yo+1hue2i99647+TiRN+5ixhHEeyMgB
p6CyNtiMkDFvcLhAL55Ua45AClPyhIXbgPE0izx5LHwL9idDr7caUjbBm0C56ZPC6tT/juu5Vai5
9AotjgkyWg1oLwtR/5AP48eIGxu6LNeytQpiEa5tYP47K9JLvYPu7xDy0qtrVLDK4JtcAqe7n3KS
qFEisvtAmN1OF3P1bMymfzbCYvylR0/eS8MMMaVjUHzSsDvup0iVxV0f1vVH5XjegczPcIz60qfH
twvKdxGl1r2h8Qf7dhtex3ZBjLZWFnzEdtBhH8xJ9WF1SsHhO12UMyo6wU9A7eFZTt3wEyX9gKMQ
Dh7Sr9H4a+0bk1rbjkgYY1FF2EIEQsVrqJXmbd6zHa5rS7yWg8HBr0/hJYdsXIuzBf6DpwLrqiXn
8FRjt4nXOh+qb9sP6p/eN4Y37HGdBOVPz7zwUDIh3bVYZdNxbq5GnTqXuNBGeSly6T4ZmdOU50qO
rEByq3Y5P0CdzbahmQRvBNiw12U6HPeZjGr7RK8RoBlD9feYMIIns66Kc5W2qXVDNYL/TFGI93vu
eIOk099U1nKK30RvmPf2SFfcqpiK8VJPlIsEEKYP0cBGxIo96wYCUHvsiSgDzSNuseH0ubRb5ECC
doHCY7Ke2RiyJgxn/TwCFrllgU98aox1060EIqi6lEZad1TQlQuMGYw0UCgTO0xnzlOxBahTn3Q7
dkQ7HEd79yrri7dSUzq8q+PY6bewtCIHpGfoZ6eQQMt8pDqsjWAdITceyHfy/sMhhRWz92xjunoi
Sux7yHIa5G2dtT0eOI6PmJsWOrpM+NUpOinifFUaOWe7NLBylF4VevE5rVAM11Cj+3vLRr05uXL2
zPOQsV/YmoAFA8yX9QORhaVULzOmjp1n6skXnOxYQLwKdCOmb4Ac5rbKueXDBEv7YIn+krP0JQHc
hE/RWIr7jMkFzBj5bJyvTXow3Nk5hF4woqKm9oH3WXmlLa08BL4OgH0maKC0LECso2jwrCMXj1Wl
HeMmZRfA/o4kAfZP3avPMcAsvEKoYnxwTBaIkFxSFZF/ozlO0cW3bQWJYVyHRPesrrmBYBg/ZxpD
a47vCWuiFPETMcYkxtTN22E26vEIgKaRZ0U9aY5s7WbhAR044GuVrUdBaZa47R0wfPMaaN+5FEbi
PLtDC2ICOxX9mvVS0bMqWyFws2akm40gcp4nSub4mqm4i7fh1HWPI63w8mght5wSe46/eM3xsIzU
4I2rfkic+FCkJl4zzh/v0irDm8k1i7vZre8a3xr3Gho0zEIyFaqavXOtZLCpOu+mmTmSVzbWX0F+
EeRbBBPKm995YWSPsW8XXxKLw77JG4sshGPkR6tVkJA5yjRfYFMZwfA/Yg3DMoxhnxeUHBOfE2uq
MkqVtePuGsen7y39235u+Nuuzkta9oD1YIerYRzna44bZ920U/0p9URw5d/YO5fduJGsW79K4x+c
GQ2SQQZJHPyTTOY9JaWuljQhJFni/X7n05+PcnWVpXLbaKAnDZxRd6HKZiaTjNix91rfUrDRNRqp
dvRXdBMooUgcz9Xov/x2CPybE8+nARgKn0zN82bY0aMoyfUy62oPsjG6+eEMePo+0f4xienjzOr7
wYqhBhMrXdLoMD+NmrspzXLPU/qdNVR9tkA8FQHPLA3rN4NZ5h0/zPPm68y/r8ZcVuVEyD9+nFJo
jqI3ePDb3UTC4FM07/ByzqKgGWojSR+UOHxNYPJBPsMbZ//m6vp8t/4a53+/vMUw33BspB7y89cM
ez9WigrIvcFAaA0hv7nW7VSuiaKbeEjr5NIu35O6jfEhHvPB9akmaOHeTFQXxnuZgVYimQuPTFL3
T8NpsPJ8J0UJkU1VfWSu0TQ3ihWAKRc1YZug6tGjId1A0Y3V//tQjyma/5r/5Hf7+xfiJKwyY+TG
Mn0y5/v9w9RnEkaA4rktdhNNRyL/AFoizc1DQjRb+N/s8X5ii99Aev5+UaFKFUyPTWUq6U59vGjl
0YzuYqfmov50FBY83bR5wDO9B2FZMmX7cxD3k2/4cQw+/2RcjNEvX5C/CTLNx4v5jtBJWk6bXT+F
yorO8zfkButUHZrffKu/vwKCx9I0QSbR5AA99/FCOkLKAhlQtgvbVG8uDBL02DiBE7bbX3+j96H1
x6dQMNbnFDnP9VWSzz5eCRK3EZmYKSHLavIQtJQUXjsEPihDR4Ae0IVeb5AFz430oK8vYhrpxsnW
TKY0lHxQKaj+aDf7blO13rQd3uvD6r1W/PVH/ds9AcXEowU1R+O2MKn89EkVw2+q3A53cRCo1o52
fXPCWslh6d++Dm1Q0zQB9Mwxd5/uvSyDuvT9NmAywmHArSzcyGCzk+Q7Qen/z8BvxuL1f//n6VtK
rExIbzd8aX7s8WlkbLDU/vneuU/N0z++I87mMf7//g8Z108vwVPysxzDP/7w9w6h5XxhVE0rD0LO
DC37q0NomV9msQriNJqH2vfe4R8dQiG+6KYJw8xi1KPrumTF+KNDKNQvBIliRhDkQ1nv/+o9LPKv
5e973ORf//zjNkYpzxP517tlGYz6NUdTTYMeIaw+49MYXEcLWqDItwmjQxECunQsGVNyIivIXXox
GlGtIjXArV+a9gZYZ4qRx2tcq4+8nc7Q9ZtKP3sbI91wadNdtEzPNkbaRI9JFVvrfJJ4epFVli9l
gzfeqct6ybDEP1e8eriyZ1Fw3mbvR62m+gbCYNwMQW1d4cIL+1WgFsaLhykbL6IhgzUH+PXotGdh
ZCQH5EzAjXrZEHnt74jyNOYgQ7jQhXMB5qPcFo7f3kvmzd9i+L8MqAKI05XitWuRaRwpkigZvvmh
4T1il273E+4G18SatZnqPNiyGdMFw863IQwKcrGenDljaF8IeiirUY/ybR4gRmRYIBd9iQ0pZFBy
6nFLrJyI0wGqSTluvCSDMTJ5YXHb4Wp4DZF2nTWqIval3d5Mtep81afaPgmrNABymjRKdZl7Aops
XhcwFLAPrQAyjNNixOu4scdxWDa5Ht8jwFLxbAzNPov1FySO3ZkXh+ERBW+9Di0bFApKvJ0Yawts
DhQT0rOs8DmgT/kVNbV9KEMis32bWTqAGwzPQ20qb+Bem7N0tLv7nKr8jB+c72nSnfPIP/RN1TgH
C1bjB7RN8OB5kqxwQLwxvQQKLEmlIqeqS/dlPJeliXjpU/LJ4FLa7Zpy0UNYLQ1ulJJdG6kekQqH
DCEA9XIP+oXdWCYl5wLspEUba2ciCOotJ4TS7YXDVwfQSqHVmIuuMzvshL2IDqbi3dnV1LtmqKU3
FMgNRhBcCM0UiAeCHuJtq9tEQxtWehEmCVFIFUOlheyIc6l0PKWWV696xuWu3stqlZrBq84t8aib
C/NcI6ZuR6uSoDtPPQKLT499PjnfzMLwbwfk2kz/RXqHpDVhaunJmz5Dhr8YYGkcSaIBHlmo+mVd
CjIaFQdQtsyNilKtaguAx/UFGBllqbV+sW5Rbp1PROWtI6yh58GQ4MGWOk9tiID3NgGVU7oDpd9a
SblnTkTMslJlMICx8B0U2y6u2rSwDlNY2MRoYpsVQ/StZPCGjYKwLBhQd3ExELicmt2CPJEDElxC
ME1Miwibs1vNJjiatOkJcwoE/xXpBjCAyyDyz5tc9U9i0gy3CQT61FGbkMYwxFM3tYCJAZUAAc2I
MsviVPhiT3HN+NVUyq1iVsa6ojEOtGSWYecvtTbsbYImmSj3Lk4NZV3l/VnaiWJrl3QeHFXeBPh9
iS3Qd0U29zv1QCruD2v1T2ok8Un8M696uspghokIiHRUZx/3ac+CxJzXLAcYWon268yc5m5RZBme
LDsrjqAQ9GWPx41E+/tkSJj15WVVnRsTI+SFD8720EwdHZU0YFQbZEQAdoIUNI7p8ZF+RXafl0m1
rq0+FCspApKym6YiLwPJTHwFwJv3OX5/t8GjCgQOvBdyV8/rAroCJhY9MX/ZqjWU+PHXX90yPtYo
8xiIiOq5ngJ1SaH4Wfg0Ko0By8eHvWL6104ChzeNxbViD4/0F6IFiOiW4a5fHjFzWT6hGoLGbjcU
PA1VAd5D8c1KW5lTkBObBBdkEzGEdaHddK8g92et8jDurLLfGkOyK8VUDku9rR7tGhVAUJUbZkB7
PdGR0MThS1kO+ZJnKz2BUqt21LWlS4OGTq6GSlMv09SgsdSVYJZjscu6Ski4Smqz4j7Chu3xyHSS
oHPTGdJTa/XOI4f27HFEmDIb/bNnnQ7+ORlK5XniV8E66LV0kze9dU8DyduROuWdxjTsrvhHa11N
bYifXQT7oQPk4ziNvZpSmBc9VNlNLntBelc/7ggSaujJGY239mE7X48cMLtFP/n1ko/NzBxn7DoG
VrfhNC/XMZvsKhFMKNiD2nAFJ7y6a0gYdn3hFHeRiBwgS5nxJvFYuXPy5aFFvL8YCjM6FEBEJIx0
3bxTGlO/ALetXIu617ekW/rsLbaav5ZRPtwBYpF3ppVnJF2W1cmOzW6vTqm2FZoRHL1SrbZ6Z+xS
oNJNF8DYJRNsWdogOhBiaRBtenhNQ5+S30jiDGGUCSyiwACfk4wgNCIAv9etThNH1TE2BLmmPxuF
8G5yz0CV5SW3QYN+gKhEs4dBU0/pIzic/mwSenOcqiaAgl8Ph4z21TG1Y7G2ZRIemfIxdqpQvKwr
cG4eLnE7WKpVVxzBsHkXtdIXl9LqrXJD924E/yCR6hoiA1LOLAORb3xq+yA/Q1HTuAF0M2RQotgP
TGsvwdHou6T0KFesHZ3fJc3ei1GnFeyQV9+T5ar4gKVqiYvLtugpsU0sAfKcSOq0VyCcjLU3r2PC
14JLgkeVN3te4ZCua8y6aGb0CPCMDl5UBm18M70vjO37IslKYbjtvHJW8xpqVwHrTBLqEwtBAB8B
uYVzDqo/ux3mNbjSjWGfwUHCm6GX4z08cXut9yMrOqG6Vx2woMOkau2j2UvVzel4k8lS6ev0fWOI
5j3CmncLLdEQgsXzHlJyblK2EKAhQzbvWxA6oDmvhRwI+HZaad2Mam5egAg0PBfhjfMtrAKc2nau
xeamVm3cdF1RrOt5n2yraHKj9x00K3z7uS8ik62CZ1qwT4XFgWRctO9FA5kgxwG/8QIoN+jy5i2d
8So/7KjQc6c73a2JDiHObKr5iaz3qmGcCwiFSmKaSwr7vbiIZR8ts9YyMXJTd6iUj54TlCTFBXij
vMS24f60wyFNSEEivGPYeYhvoHml6aag9HE7O412UdvqzaK1A8MF0WIssyHHwIVmBzMubqmdaHKG
yww1vwKRN84Z9tpXGGa9FJp/QLRgUDmv5VTopyHpTVKo4c2E9RjewhVprjGeDbXr4+bZNX6Au8Or
iGZLVSO8kJrT26j8A3EuFQEkTMH+S02HrK+npzS38HXzlDIqwmxZpOdNC+tlUfRW9TxU3b0qi2Km
Vo3kcAvVXKeerW1sOGg3ls8Xjzg17CqFcALGq7Jj+GvTAca+IFYiNpSTOeViZ8nBuE6jXJ7oXprL
0GLr0lL4t0RwzW5PtUp2BDVGjQu3HE1K0NlgwrQC+4MzRPUZsQdwaLregWgQqs+DM7UvIs9gnjdA
yxCX8aKt+56m8UJK3yoX4AD1r6MVEg4DdTdY0vcJ95YsUJZXtrJ3yq7fpmhF95GlAFino8iBvZT+
Zegr6oM22KeJ/tENslbImrkyh3V4IUHOWj1w02yoDqMeP0ZCkjmqqqbAQZQ2zz5sjseibeqVahk4
EvLYA0HjPas0gld8InPVoA466IXDw69YDXpBoBOXCrpzID8wjxg0UgUu+pHg15CvAS2NrG8JIiBH
GcqQ/lXVFWyvMJQYVFEAKG6hQmu1CdJYzR2L+7yOjX031u2ZKUKUP5rVIrKMkeDCedtZehDzBTL0
wjYF+6riDEDnVu4RJ78BNXweQeFt2MAgBjtenu2syrR52/uZQoR+8wq2ybhh5aGw9mL1LhpCTNl5
eqcZhX5vlGiYuzYpvuI7ib5ijKteY95316F7vu2a6TFz1DshE6hiEaacHSj3M132FxFSfIp+LJHt
MEiSw9kreK3I/FqpHXQKwmxyqR6qwih2NmjEperF5t4RidiipIwQ6prjQ6jwnKqQ2g4D2kHaL9J7
0Su0Az6Qq36JeZ+yfsrgZfVDOy2HwPjWtoG3cYxSWUtt1I84iMMDcYzg2tpMycGadvoN+VKkeIX5
0Lx2MIGipYhr+0guE6sNtMLoGsKpRE1NB3IRpXG6tiKjIF9CmJTGBdNhxTOBbgNNk/ytXfiUhJ2x
8KyiIvcpg5Zq13z3LpkRMDboMA1Pts0XHRdhBKDQ4DhyEcsahXZlTaveSepN4U0DBychFnSzx93g
OPomNLk+fBPrPqUSDIm0Gx00Zdm4NguRr4XWWo9BGWobvQsBetoKlKI0GXlrq1HFI0QyEjCnnOjj
pH5wcNhPlvo2i5pWneZpT02nWBdO6bE9Fjd1bIHg04OmvtJ97HObPgQXEgmCoEVg36VNRlHdsrfj
n9AwpVX9BhhsjQRUDBu1lZEbDol61yA7xK2PB8Ytq65iSeoIuDB0ppGWl+pLthKe74SJ/w3tielG
Mi0oyI8AbkiD+gims0Bmwnc+wYvQz3DregsCauQZgED9su3DRroGVJls41iOcm2yVZ+ElvVvRvzs
1RNGk2KQC92fAnnB/MnYVmFMWaRkZ6mNY1wtpVsRkWfBm442MmxLVhFgXeZQK25qfhtlmkRrfGwN
MqMxyZZIvjXUnN4RAfd0TkF4aHSkCWp7b8eP+XQ1Bj4Iw0ZblJkevRFQfB7HacY8r1AvLdMrH3i+
2Lzwzl30k+UfkiAr7nGnkf0KwVtBZso+u3F4ox8ms8YvmTriwVNj86uMJOlDam3syNaJ9uwEwVEm
nrIkumj2kyU4ZpWaoiLyd01FchZjfYspeEsYUlTIq5HEpUczKKaFYvspiQMG4qUIaISVoZrYQppE
d1Q01nDfsuShWs81MY9PSCgwTPIMwhF2lBZNzKyc4VpvvQIFJICzEfLHmi57tDVmkAWKhckl2Xpc
daE2bKkhSRlDSyRRIgrVO5lJVuyMsh3WPuzkVUwoyG0VUvl1OlbOymnLLf5NZ+snRHgjMAImEXoM
tPkM0Nv8FHFo0UT3ZTcCA20GHwhYmF75TASBBMFBXePzJaKbof1G0+LbRBmLPeOhdhN7BQVZHBBG
YeFwd9H83+AIr1dTW+T7iDUDF/qYFDiec4tIikTpUYvVMW8gccEs2Ai/0DG3vFl8lBysTMqf6JoU
WI2HsRv7OMBgMoBeCj8T2yBmhfAQzLg1xgBelRAsr46Jnxi+aqHZcQTKNmc1Q+DRkzxiumMbewdd
87yzTMvwkwXPJo2ZKJ4RTPyJwDtUSGIXZOeIFWkS901qE5qC4m6VmNO4p8OXIVJ3rjiXz8aDnnuL
9hjGqpeeBTHxL2nfWS59gmkFnBDwiB5anM0R+B9wfxLDlHnarq9yDelYh6FZr7O3wMOPK3s6zLYY
lWWpeFpBICZz5QxP3Tc9yeMH8KNVwmhD964MpXPOMgrtE2cV+BwoqoEMSDpLpqzFXaQY3bIhdOsh
lSJd6kWSH5j9R5z/CtzEvWpvVREmG6MjLzoTWb2t8fQXQ7aEQU8qITzuaT1ZkbbhDRO3Dce1U6OQ
20aUZ7UKU3ofgYNPWPUFOLb4kOvmfqi3o839bDPngbn5kvg0+wpGlbOJeiu6Y1xr7Mo4SY4wI5m5
8gruvD46+UBL29+Nt352FMakasNhwI+kOp/a9T3ZkZ5nCHujYApcmUYkXyq/Q/RWmhkqZKfi/CuS
wWeWmsHZqGKnhzkIIuySfOfxWVpTUa0Sw8S2g/AO5dPcr6SngwayddQW8F0wGQq0lbnDqUqoEwt7
oEE45tLeh2ZuwE/lhKh8t0L+p7v2/02eNGYcWFb/dT9+/5Sm7T/+z1Na/N9/HJ7qIA2rD/3873/+
j5a8/GLNgl3qGw2HMl3vfzrTLPEFRxieE2Z0/I/8wZkmzC+awF9qW7TfkdPOffx/tuT1LwhFdPB+
zGmJS6CH/m+05A35cYIHZNAAvaEy7f3YlMr01tdamsib1KtUiNB04MiRNiZyRMPuvCAtLwfDiQZj
oSl9gDirxjSiKmV5GLE37FCQlGvYI+a5zIbAhYBiEQTaDlvSs9KV0nj0pwrF1/J1SyibS6EIN9YT
9aLMm3GX6lSDSU084zBXOxaHVAxEarDF/FBeaK0efyWyj2GAlQebdK6X+jaJD47vOLtsQloi5roq
zYJqTzvFWDB1CJ8QBsuDhW4odL33sqyeKzR7rtXiuWrrxi5Z5O+l3Gyvus7fCzyLMepxIuCaALO5
AvTfi0G6kvpNM1eIzVhi9S8JP8LKb+vHQh+UtWfn3makvMSKjRzYBp+HQgkITT7jJpaeDoonn6vT
xIzhgs4Vaxl1hTvU2fSg4HRY0T8QW22ucWMrGG/amEHyofZrTyyd71Vxm6opTNzUBKaFFYPo+hbm
aO8dzMgqno146mh7FIpLwLu2jN5r8Lkaz6Ms/kqfo/jqh06Lioeq3eJIYC1VM8j2hDJjL6Qj0ZDX
EFYvLdKtvWg1qW8og2MVXU1t7nqFrM0F2anKjaKkJCZOhsWwZGoT542GLEK3YWIzCxOlOhBiWjwp
RRibrNAdhrm0aVahigEE/Bp/S1gE6LVaUTWrmu4s+BKhQ0uXGg44CWxv/i+Zxo4xcOFWv6INnb6V
Pb+Cq1eiuGMcyzZG9l7h39IcxEyUggmhEwW1hb6Imqbkbce2fzG75HdOWgYnU6e01IpqpgQVyES4
bRXM27INxpOH7JtlkChwg79SP1V8xCfCB1qajAoR0NlYmhyXlWagnurBMU5WomMLTiFSwiZck5fm
vY2F5DPVqWMm1M6BQ1udRyVYecjQrixZe0+sxyTwmB6OSxMuIn290IQR54wOhXipZUcP35ar0hS7
zBH30J5wSI9ftxMkKV2fwqvQSGD9Ene/HLy8YAQUwp4wc42Tc1JVDVtVP3GqcOykbbcRwI9v9I7G
p4nz663gsqabK5p4U+kL8Er7JlJjZCR1D1zehgUhwhpUGyi2pqMfntnCTahY0KImOjQssgsNRiMp
akddIZruBPi6CF02Zj9bjdEA06NkMI4lhbLxGsBs3C9EoaSc1eGj6qtIK23266FVX8ncyncKcrmZ
OjMRlVb6GfoeRfXMPWYiv6aJ5EDuG4YXXaVfCCbbfDFA3GxRVTVXg2/SH2/92J200jhxU+iqaHYx
3A1K5D+xm4a7lFzPXTF6DX2tFtZfIpErWoDZmEnVKd91gugylz/8ToOXNAfKWHZW4NVhtxil0xar
nl7szAyiRa0XxDp2hfNa6XSm3KFRmjtq6eAZjk7/7HtRt5alN54DIe5PRFwSvjia6QmxsdnMEEWM
D4Y2Go9KNQpO8ZbA7pZOan5EdKq6fZr7j/wl6TYKVBhpiKOXveEAapzRwRlO2AkO39JuK3MVdnZy
bEZhPtqGb0Vs7PRRoKIxG2tIaFsVxCAC0CriDr6PRn54RxG4S22R7+F3FIlrUzGEhMzp3jGKrGFL
yKq9Cir6pKuhsL2jCaqPEZWilhRwlVUXK+6O+sS8ybmVokWXV9fOFZ6NyxEY5tIn13DRGXa2Bnc5
IoQz2+JGmp1zwDU8LH3DCF9yPTD2LQUpp/pWRc9GV76LRLgyIf7Qes/jrR4qppuYQY+fmQhIXvVq
BUJOLLIxttyyMZS99Af8nX6NoDEMjGpjMpJDk5+E50Tb4KNCkoIXEwFwAAnQVfOqvjJZ50+kNXtu
hiRiWHZtjMepD4yTbI34RquV4FWzKKsBO4FAb23dIVxuiLaqA34Bp1O/yQxf2dO3MbdGr2c5R0Fm
sW7Rp9GZb6Y9CZSin559hUjiKE7Dq5TadQfF55J0KYdwlIh3dkFai/7Avu0cEHJyXjfNUV5OKkNC
JNuIuUtHTfd2U4/ZBZPtgfZKHrxFUexfce7yMKoNWAoYVznPfo/eV6kr41zz9eqpT1P5leNH5Q7q
ZC8dIP5bw2gmC3yvpqwzySxmEXa9dZkOwoKdPEkwL1N/7CrFwAASYKBDSOXtEY8RjIhnbOeAol7D
fhe7RukIrjS1pllbSpRcmcAMiX7wGCxPRVC90v4KYXxa3fSkQOlj4hlPqo6NISeZHQ3yMQgh+Psj
2YRkRxrHyU67B732ozVTnhaKUwok0UkJO/dDO4Dd66EXxsKTMbwVxflkS0RZk1PqrwL62DkDDxy9
9UijX7UBxZetXb94k42sd8r0ddeXyn6yp/Y1pWe5zsmWv64AQgMxNExElDQt93Bs4ic9ZObJWUr3
LzDnqnTbkypclya6Sr+SguARw2A3KKz2YPWaBlqVOaGjqO2mEFG4IeKalU7hz+xCzWfUVnrDCZug
3ICVj/a1tEvuZlPeen1WLaHC6YQVj96WqMb6qjcrxqe2Z93UkTMTsns6WSlhCpC8woOtyHMG+tmu
7hTQr1PNMNuKpHV02Fef32vT/3SBfha+VHmdvzX/DdQIBCwcn/51hX58iuvg6Vv/+lp8qMy//7k/
KvPZ/ja/ipacfXEMKf+szHVkNBpVOX7wd54E/+YPsYymfSHziagyZIqIomCI/FmZ219mAAUKZCp2
C96E6vw7lfmnqTGZfoTDE+qnalLCZNPmE8mP4kHIhl5QASB0ZQ8BPEVz1rMf+Gn1CPuHTcZSXYYW
qEGrduPZZEealnqHLEA95nV3L/rooS2qc1lNs8ila7dN2ZzAd9EdkFro5ji23bKAFV6ZyX1js1QB
Wb/vAY45kN3RolL1tLJAVABNrY8ufvg1fjIT/ygEev9ytmAergoQsJxlPn05QMhBM41YXIY0chHx
rWPvLauKkyp/R+r5fCVjxr1IOOb4EjmAzaSRH2+jr+Bh7hjsuoCq4WGiI88Uoh2AiBe+++svJeZB
/o/yJsbmrLK0jqQw+R/9kwGS/bVPSRgmMEV2L5aH58FKs68Qzpk54pn2utxfJrKLXRqPhWt1bb1U
JWg15t8B8LS+2dKN2hih9cB/dZNl6Zli6pMLx+/eV/pDLq0nPXANs5BIh/LnakjHZSE4nA1ZeRwN
n7UOIROEQpUKoK13gqHSEuTcsDLUsHcDb3yS3fRQluGjKC0qpVg1v3cD/qXkVZt/uU/3AK2giu1a
muRn6J8kXp4JFHsUAC1z294EtOW0dEBFHzQgDenE5/dFKtlEOpQWdLNDD7xel35D1v766x/j/UIf
P4g1q5lRh+OItW3MrR9+eGAExGv7dEsg+XKILfFe0+G+t/2aLVRLXgBmHIyICiNJDlU73eTmeNl5
kbWhkk0WqaNfira6nscfg1luqMCepsh/TEdtDbnj6jcfdlZW//hhLSnZNwmxlMS9mSwhHz9sBuhF
gaMQrFQVXKNJh81S+xujU69LRZ5xUruB7r2LHLmdiIkKS/UO5xK2OgOhGcfvakKZgEjaojG2nJBq
B6A6+qIyFr/+nH/7dfmcWCV0+rW8SugMP0lZTL+0ZBhaCjbA5Log12tNXdIz3R4uerM9QKxDihZB
tTJkYyzianrsyul6TKtVS8j2rz/MfE8+3bMfP8tnABtDSy1JrMRzPRTqA7kBsaMtVJqmtOA2BDP9
5nLva9Ln60noUaTj0ZghKe/jb2QJL7YntFGuaJhdoaOiv9ZULt4fngrjGpymvrahybpdrgTLMrXC
kwzGnaEGj9ZIHzkiX2zl9xB/CIK791oSp/EBp1F9A2M4PqA8AuHmOQMqgPDSSVX4ChFZXWI6Ui8a
2whU76LADEUYgr4YOZ1AHm4PxGpSJmYmZlmjPCYlsS8eZc6icOp6S0LfuMLZONG0xsKrV75YNWI6
/fqH+LjE0j7ioYCDJ9Eh4yRHCfnxxoyEo9R5ww9Bo2M1Gf46Ks5JDUV3fvbrC70ngX78CeiV0RKj
huRCwvy0bZgTGtDM450WkQXJN34l6Y/5go2Dm2jP1nXq4Gs09NdGCVUZpJEY9QePABCKb++xIoYp
M+tvGKAWmTozGmnxNBVpNMnm159z9vR/ejQ/fs5PzTUVS5WvF5Dm4Y0fR61fM0+LlmqU3nts0Nha
if1gtBUyigqgUg/ZWTUUI0PB8t7H7IHUY8K0bdTKasCmvaUY7c6gOpIjpPfxlnaxt/FLaewnjr53
bW/ky6Jszsnw6hZG0YKibPAEKXSheNS4sFQ7Gi2YwhBWzpayHnYjbEhS9vSm5dyTfx2a6MkLZvVs
0Y+Po9newbCVLjy77i2lTcDB2Qd925b+IZP5tMazeffre/b3h4hqh/kcpRWNTXaQjw9R3DiUGyJz
XN/0EAHGLILdMhQACAt9/etLfZL4zw/se80B7llHDA3A7+O1hkgt21rkjtvpk9i37fQVJaM4FNXo
36HZwsxaYubNxrPaf/MthhA5vEy8Z2ywfQOnCJin5EcxqxNJ7L/5cB/7se+fDZ8Dby1NX96mz2Uf
5CwtNREtulFKeou/tkzlMJW3v7kDnyuVWeoNrEFHAgsTTbc+3YFKj/22kwmQBDRA9jA3B8iMdj0T
PXIY5C7qgqveL4qnpDRvo368NAl2oFXGvNAA2l5Oc1BvFWYrC8IOTaDgmCjwgCrPMn5TUPzsk0qb
vN75saCP+2lxaTgVJ4Tkea4tc1aVkD5uhKM6QCHo0yJayMBagwU+2Ahvfn2T5nnMh8UGWbFO7xbP
A7syh8KPTwmCnmbKCWB0Gandeb3FEsMpzwH9nelXHdiWMC1/c0ntZ9cErKFLw2GHxe/y8ZpOOgI8
jU00t6W3AVaBSjsshn1hYOMhDO2Yp+1LEHe3ZWA8RaF80ic9WHrKM54DfxkoeX5uD9kbuJedllvL
MLr59S0x/lan2DrFNCEVLMLwJd8//w+OpkEpNYbCjeIyLXNpRmw801t7Ea/L1AcYgeMJqTwPUT/o
jL+DfTvJx5qwjHUjgVYhbQI0YEDZ6d6iIFinA0E0UBBIvQhPiNk3GGrYqnKm10X+ItlvV1brrzt6
Ljt8jpupMPp9FANuSFFCjUNbrmOzfh1T9aYdjQet9l0aK+sOC63hI5zv5gi/X98B67OYF4sEzjRh
UeTy7jif69ssRHNga4Hl1p11o6fmJW2JLfGuCoreIUHM1FSr2gzOwPiS0wdPPslNQnrGpF7BZ7hq
qv7KqCI2A3C4yzA2loNescFbgEBT9d5CoOSmDn1aTVRHv26a2Zw60iXz11VPeiby2SOhFL1LCwV7
fZ7hIbOvO+E8aHp4psH2iBPEWhG7QQQGsFcRf03t9A1qdOG2enletaHb8UFJf75IkuE4RNExTmje
o9R46prGVYTwZ2rSpmnkWa7Em5IzyGpwYgveL5AjI6N/P4hylSuqBkpWY6idDu6oxcM6IDUXxgas
YVVjJF289JV/kSf3FkCGsHn9zU/x+f20IT5ySLc42s0Dtk8rQyuJgLNKQT2mExG7Na1tl29LVGf5
H6Xff7qD8l804pyF2eTUM4cWkv9DIAAlzK/aKd+e4uDHTspP/4LvfRUb0xAnBCxDEt33p74KA1AK
RVaQeRLK6vZPD5L1hYOPzYv1bk6y5w3pr4Enn46CTxWMZZHwWP9OW4UGzofH5s+B53vN9sPSZWCH
j7W4CbZJb6VrJl6OXABS8R3KrrTsFgL+xcGCPrJpBbGraoMoItftoF10sonO+wKw7yKzafa7FiGb
d5hB2vPasce7IkpnrWeIln9dMWpMFmFfzkqMqL60YpX4MitKwe4La8qhhBQ+TYllgehqVaOJIb4j
IoD2uUObUey6PDfOkF+LfTJo/VPnjdlzEbDKrSojKjZ5CgRgMZmhQyehq6W6RUgoH8ntIZiJimbA
RaQ2KviRJOnKHZIYJEIlk0rSHQotKveRLcNLPPYm3IWpKm9Mq02vW9saEPm1nbccCD9+YBiHRH7Q
0HwMRNYDVY+mJFnrY8kaL8xAfSijMWb6JJQqXDqwF6+GLCQezoxE9xKZyrB3otTYYzbxr0zFzFal
HerXuhm1X1WvQomqBOkVS5nc4A9wtiD1iEpUhwyNrbS8Y2dKCCacW1bCJ8cU/aBir7u2gkTo623w
MrPzg63CANmBiiZBuqdxPx0KRYq33uuGa7X0p1eaMSlWIoI7HiY9Ni6c2TWyCurIYxs3Iv8WASdl
MlDu5hQUjno+RpwdFs4AmYDj3dht4iT0AQP7XX9raVK5K52QpoXsLfXWbjVoj44sx3hFyrB6QnOk
P0daX26qyS6Xmt7EuJxUvz6hB8XhlhdZaq1SwvUOkYibY8TwulyUosq2VoQ7amekJayNWMuaR4A9
DDdMo61f/dQbbjAp9f2iRlUDEKQha8zyWvsMviOITgCPc2oLmOZNXMKtuDCdNilXzYimaUnUAAmB
o5Lk4RmCsyFcpMzjjFXUZYpYp8iVXjMKLMMNqPNIeyGDaVpxxgLVpziIeZnnVcXjZCTBvapz3pVp
+P/YO7PluJFsy/5KfUAjDXDML212gRjJ4EyJol5gpChicoyO+et7IZRVV2JVZnZduy9tfd8yLVOK
CAzux8/Ze+2pvCnsySZEuy5mDD/o2kdOJC4DZS4s+s7UYtYZ9EPP9zT5oGllHCX3tpE0BJcqJ4ZB
YUbvqNLc+YIzWPQ9j0i1oJfQG99qOTD1TlrHGPZmES08UhPdkJ3bmkl1O5Bxcup9YLFIR6V3BI+j
vvUOAbpaW/flRge08g3zgtJOBmiMfDv0vf/VqpYluyVrzulJ7yGKkXq2+NR0sfU2E+/wPMU5uJXW
R7C5QU22bo2Vvct0jc2ZoIDxCAIH6D7SZzbpVEOSsRFlI72QQLrOCAeMf/gE9bkOOGJ538nBdMQG
VxKEQRe0E1jfzr3TQb4fMY+oIZCEejxoJN69+q2tnjImgdfWtCw7u1f0JYtkcrygbv3hTgOv/TS2
NuGC9ogknxnobpAcPbeTh6iPcU8ExUP4HdSkKrG2oi4l14IZIzhXNvynGQUbetOcEzMCQubFGe6J
Y4ksEzxlZFJr8VSOAfQF6EaJPeB2y1xn66hq+OYvcmrgqPSuH2Ik6oCnyPnegX/o7Spm0hHCs3na
Q8a190YtiaKtYbLA9OqN59bPl7cO/JmzFZ0+X+lFp131bhJf+QoDApBLy70fizp9GDCu0YgcHOOo
g806wBNv71NvHG5ULJwuEGOJP6vq8TjBl9sOlJnEkUfRY9ez5ADbjZddlo9MCm2/ThGewAYinc/L
vpbpWN1kkkEq7mVC9fxpIvu3Xd56MJ0eKVR4SvZ5XhFR5gwz977P64TmEcee57qq82eXuRscUNOA
6mlPWAhYw7tP3J2JbPk5Nm4IySQTRnbNfKHZ04ioG6EveeweCdyENIELA2AxYiSQWfUKu9J57Kye
h7DRe1/gKGyyr+Bn6i+Qp0Y/aJoWj5Porc7eWc5a11d5lpeMkFsCBUSt14TDGll+j8UQ1SGDYRad
WLfI/NNKXZALMjO9Grj8y9ZNOyTkTj3DaBZyxPPVQm0xb+qmbq/iZe26Esg45xvaFP5127gS6FCc
vCcIJTa10tNHRo6MBHxpst2APvX2WQOKhEyMCofobKDSZZSQHiyYpfFGq5rpwhqIFQzMOZIX/Tg4
SwjvrMB/W3XVtZ6JQW0A3kJH8hiijTVWrY02U10OBSmTBgNteKG9pBwuDHvaNaaZnczWQBIrKpQy
AEKT/TDdtP20xEHCHIv0ITUspzmr621fFKVNDqFFUnrjFNmr2+TlVpfm5TilCPky2fOnKr7hXV25
6smU3kh4LRUHM8vOTgKV62geq1HH1965zM9VbldPBC0iKLc6deAstO+AKgERIysW1YN/2RGxjTyT
8COy7Xx5kZhrJUxUTZPjAY9snVy0pWQdsrV9a9wjxb8jKcMPPH1Y3iS7ARt12j1K8AmX8VJN4Yzr
gtxv1d2XoPJRMEtiJOLOXGcxLy7F/2bpfUKmR1gtolPqkznZ5gHflcurKyFkd0TDfW9SPxrCSg7+
bU97fJfLsZ+IxvbqCyPqiq0zp/0h8kmfQgOStu1mTLPptJhNdyrjSmf4E+VX0mYh3xJS3pBTNcVo
ZyzP0ACTOiiWgOFrxl5lsw89P23yFW5R3QtM0he4VsyTRxjX5eKn1mWf9F6D/qdXX3yes42icfXN
mSPBoaW0mhurkNhfCt09ZF1XQoetscIirxJvPg8MmjGjvGsyH363XFJrW+SxddDtrv6kE5mAS47b
X0E0/ELSJ8OMUeSLClInRgKK4/K6zH3nG+BvW98SjU74etvVXztgROHCKOyxEUp9mzCg3OI2mNBY
ZbMHNxv3lLKVSxCSm+xHWyffUpM1PiXCNt2vxWJmAB57OX1yLISvgY3j+HuUNMlNEWnmKetrPF14
k0A0wRRj4gSnvH8erNndukPjPWiWiW+p0aP42UXdjoslHaavmpNoXyF4taQedtkEbTZz9olXo8en
HXrhT2P+zvdtb9HLzETS9VhDlnpWlGdpi49jaBHQ+/NIPyJTI0IjkzG7CBx7nu+8uPUgVNrj58Vy
nJ3blMWLLxxKjRqGFmc3FY0dIKCOEbZozHjPrRpPBnNtVoc0au9SXJAN5QsJYVhxJCuVQCcnt3Wf
tBhuMq2v9j3u0uhYt50ebzx/ciQZjolxreraehLuOGAlQAA479KhGIxgar0Yq7EAopzSjIWxR6he
t8H700LLXvQFN4ho4J5F89g+j8jUsk2bJnoVpouMrlJHmMh3Oic58oT4UBBF2r3EicumNtqecZ9j
YOvJBest3DFF1h8EbpfPlpU093UjFW0qzkP32WzRAITTEWq0ycgYsb0bY5UspcaqXuIpQMnEvovL
C7ObHIN8FTvhFiV1D3Y+b92IaasEHraqbIyzTso7a6bGVT6FbAwlVX5WVcmzwqo6q63EWXnFXUC7
PgFH2ztG55FcSrt4s5zVWohJrPes0Hxiun3N+IS5eX5JV4mXd1Z70RxmJ8/bVQWGdQpFWNM3Uw1h
IENDpDqmP6t4TMRVet+tgrL5rC2jxmRsYXnpdlllZ71XKlAeLUtUqTxnhy+VB8daxWp+4qEEOyvY
nLOYbUTWRqwmCjeqXlRUhHuifJvOKrgoltq77El7xsHbHv2zXm4Zmgo4WIn9yDV5TaxVWseTjcqO
yLjqxTxr77IhxtE/OFOAdGK6rXRJD7w8K/ZgzqPe46nCdrtK+iLkaUdzlfnlZ8UfqvJV/XdWArZn
VaB7VgiiwUGZZ6zCQdxtaAgbP5LvFVbI+9aUaAylnqOLiWAsaJm2bNx+4iavssRuFSg6kYlWMUIb
UAVzDH47LhEz9guE7+iscLRXsWOyyh7zswJyWsWQWmcgizwrJIGCo5Y0VuHkcNZQequcEk0pykrB
mVPsiTiJLqpVejmfVZiLZcS4M1b7lYle5dJbPVmY//MaZz9OLV1TfTg0ENFR7k3buBXN1jl7vMrV
7mVlSUa3BQuYX2lwyVZbGF/auqCZSjtpNY35uV/uEIjhtLE7SRQZubhR4MOLCzM3ZryZ5f19ZfWa
CoqzQy06m9VW25qrL3JLgCpeNlrW9qVeYHCjgou2As8bdSr5N7yTW0I1FIJKP/4qVpPcfPbLaakR
beLVRBeryr2Lz846TgfZxbja7Rb0guG8WvDIc7idyT17NpAF3NmrUW8QEyrByLEx8K9GPquW8aWz
mvvy1ebnQfVEGbma/6pcF09Nu2ClwzHHcCXVCnOHuA7PIHb11T8YZ1Szq6nQXu2FKWXpNj97DsdS
Yj8cwLT3Ldlc5Len+BNj6HDH6uxa1FcDY4UBe0cJ59w6q8fR+uF2VNpttTogRwebZRCvvsjmbJFk
5RVHmnL0LlcHJbLO6DlxxMLSFsEo9PyYgCXVrwZMWerFdbm6Mk3YjbfQAOnWNZ43p4Hp6HhGVy9n
sro6sfJOXhCVWXbTyiaeN7ZeEEqwekGjIp4ViKKsewAxnH7qV9eoj2/+G++ucWucPaWru7T1M4ym
jpgT+nOjZTyJ1Y0qjTw72o2TATrXiRfQV99q0aEITX83s+JrlWWfbPrV6xp5TcGgFf+rqNEwRNKa
LrXVHZu7/CVBpGGb44pXDiRRs39q2eqQUJEwTZPe4O8ky+MhgoT82CU9yRxzXwvGVcno7JqcGNvE
FNNVhXTVCNfKxQ4JACgfjcLIdgglstvKEu8uh0F25SZXCg6n1qF8mOBNsH1uhzz3SsSk1vgZC1DC
vVyaytv1Q9W95URMhf+LwzkhxTgxDyZTLnKy2mna6E62chTnxL5Z2FJ6DL6Zrn4MMv4/biIKwA4M
Rf64bXjzlqLC+rlt+Psf+b1R6P6GSop5OkzSv8usxnNoj2f8Bsdct2xDBwb3g2P0e6eQZB5YV2cU
FZCzVdvzj06h4f7mIThBtuUbPzqP/06nkG7+L51CeBU0D1dg+ipSstCUCv77Tx3DdHAaz6qgoOBU
aohTK3CvBewV+lXitglbG+N7umrR1ofkUmyFLKKT4ZRyx8Squcwzuk3RpBdEbZqpzzGwjol3EJ3b
Bx7jpHZP9BTTZyPF6eYDEdzGHSU8fcQRiKA/N1+W1Jb07Ct5TE2ZHAr4yIe+GPBrqj45NCipbwjI
sDognd3gb2zTIhOnyMEWB5DSexKbrbYtj8KT1mWK1MYnbpJMzwg69tWYtXmDgJO5EVqXSfseKfpr
gTca/mvqtzQ39JEWk52lFxXuIvIYcoJ9QE85T0r3xLQ14CuUQV6DaA7atOV4J+BxbIaszD5nnXwe
Fz29Stv0kSM3Z8G4GI525rQvjrMkl5ZokntqTufBobl0packnkzg0jFVkyScziV5lLOmIQ3S0aa2
ckeXa9n6XDrgqRxDtaYln7lMxvsW+GSY+96VV03yUsRdiqoCa1pc04NyqIAiz84Ilavl1naH+SuR
zKQN2RSZaGA10qhT+JnYelGrXeQr0DxUuklOnuprgNWVxButrZ61gIu2RtJKw6CDO43MIAsME5+M
eNFvnRm8lD9I6R+9MmVB07PV0mvSTGWqI9QLh4mxOY6YEy+dmKN1oKPuu6m8AsJvQQ7jSjDG1XE5
ImkxUTrXCZGlrgXSHpm5f6uIhjBDp3Mtb1fOqGbVhDYYR2OBBpcVmVNrX6DlRTHAmJBDzHVMVM11
OmjZV20AABupsdyXGbhRftIgifnwvU91p+yt3XnTCQb3cNOR1MqtJJx0pk3moWYXYzs8eEZFhVEA
VHrqwUF8rmqjxZU3tsYd0QLOjSPQb23sNqoOve3KA63wEdVgDzu6A5X92thpdqfYw7amlsTNNkvn
OT6N/KRh10uj2tqoVaKwBKl1D13OO3S0zA9OHk87POh046J8HevU7ppwLDvmhQ9YvlE7jgNa5eRz
NYJ8qfJ5uO47rrGh3Ox5ov6/tStyg22K/sBry5tuMq7NeTY2OR2Eu7yRJmFFGpeMjkfYgoi48unQ
FHtp2x1vNSDv/di26CznUsPXUxOwuGx7P2sXEjwme2Oh0f7uZtFzB0DglDVmeUXPfzrGNUjbIKMc
OfSqsE4VdvuLEuiWCjAGRjeZQreOYzEqL/sUKMxOjEaKCF9P3Tsib9VnI2+TDuu6dK9oIbZfJmER
8mK0ZOEF4I6dS7uO+uk4ekL1x7KJnXSrk2Iyf7UoVswH5aGp56BdvUkOvU4cGg1l08nj2efIZzTk
yTxpMdq4Y5K5trE2tyEFVKaV69/gGET+qazYiXFHmCm3oiJDcexdr7igrAIlrxvD/ClBrgqvuCue
DDFZxUXCVGOf6vma19vZfbYDFitIgce/lm9du5dPaTqN+95vaeew2H/uG58jptmpa23USxjKtu2F
tPtcjD5y0t9czu97hVfjChNGvhsSLdoNwNYdPAKLeVMZ0/xaUtw8s3vL0G07+zDxFrHC1vHOy7r6
cUyFQe9JX2hRhlC5q7d46Ko7jsDR90xTcLZdhqLtOA3Qa3X+YgPaNWHJ5mJN+yk2bfWYEoFNQ8ZV
Xhx2CZ6C+1k17rB1FfG2nKP5X49xRmQ9J2dmzWlWSvjOYs37KXpUXlf0+2txLHBYFVtbrH0oI4+X
x6y3BHG0YH1pNqIlTZilWy3xpXYZD6Gn/PxqsiuN7QXgRU38askAF02KAEe9n/1qCXV/dQTL+Eaq
Qp5aD5KVZk0Tih8LRI/JxhPQmawvsOHTEel94nbnaSquYvjmn+y0iU/dOZcXW1r9tW/5OTijeSUC
NQIB4kxEMkSsaR6BNu4a8Qsqgrjf/Bz9G60pwDQdEU4O+ey/gs8yCvipKa3f2sVLEMyNXvp73KqM
ifVinmkepbZFqiMIp3vluoo8I9BoyWUEqgq2RN/TnW1Y4NMbqODt5VgABjtmzPqPYy2s8Upa1Xgw
bYe3QGnFZYUP5DBC8UcbB94jpHRDuzwm3b079R3o81Z/abrl3hrA/IDXiPoHfcqtMog1rPOcQlsX
DxmeYRWIJXde2njW5QZcmfPU9nbvh5ZDku8hB7nFebdxaPopTGoLa3bWhfo8zt9jw9c/4ZYYHzp/
7ZNUw9w9MGf1Lxve4YAOlnVvqMZ6Ap9eQFIurQuFW57xWLsSsuerhSP+FDK5GEnPy08Lweei44UN
cOQsb4Ws4Mr3pjXPfEXl2NdpUtDsKbiVELmbop13OHm1cm9Jy3yncJr7Xa15xXxnxnryyU7MYf3b
de8yNwjg26dmZX7Kpoz1juFBV1801SpTaIumu9HougJVGIT/VEu/OBhlZgFug41gHmzNYCRIGFvE
eDChXgvwweFVV7niRsNJzYobxSGn23qDks8rL+SmzbRu5iAJ4Bah4lxSQzBRw+om++emIOOzF4u2
qYhsovka2+pBYVp+8dDni5ABiJtuGRqy0OgkcYaJFE0TCmkVN/zq5iJKNF0dnFofpzBPGI8pmegm
8SNjzOmIqbN7qOYOJHnbk0a8ZnHhyk/0hAXbWQxN4ZMsxiuXvCm6RmXn0B+yjfoNeK+dQ0IYAKYn
jVmH1th8IxRSHmrSQr/11rCkoTeB1Ag7QXRbyM60bOHRZivlRI+fCbtvTzZBv0+k5y4l4wHCpgaj
+uSNqCdwuqaxsXVR/l4Wrcq2WTFk/SYpyjekyxFbWdR+WUpIxTSPuecDQ4LrKa85IWJaoTlHwh9r
SoaCUzpkRe3KvG9us3RZeOUj+tiBNLOkDZDh9M9pT6Qg0ihEE7vYFuOXOSmEDPLcyOKthpPsUrO8
+FOPie87aSsY8aNhlBVH+GoxaLCtkQYIp2lGdW3dsCozTwsaZa2pHibp6JHICtxVffR5aFpaT2bS
7lunEwGttRrz57xsOUjtKUgPOb0WEn2yrNxZM1YCmC9MdPIJdbPpjVUwFqWFx8xlCUyLnElX6udE
vnRTyL7PepLzVF7EnhkduljWp2qIx8cm8sZQdlGxwW49PZOKI2WoWr15jdvCS8MlScxvU1GFzIEJ
yKuWZywR3wcamYTY6fFBRYIOpDc7DASs2bOJ06ucah9FKK+CPE0gWsyJmBkktfoXw2I3ekqaSmPm
Ppn2rTk43trvztqt2UpgUyClySAZffqVLLRl/lrHNnL3hQVigyyT0ZZDwBzgCFI2Dy3bRchYeDlO
0D7uKz8dP+MBW2OYpRhpqVNlakl5ORD0pQVNlyXzQVOFNwFdLzE2lsIfHwE2YCfgrF1hdMqLV0Tw
7ReBkMjeELmofW8tDUcsIib+7slr71iBdBH2ulk3PASVuoWS5p8snXSbjXBN/xZ0RvuAshfnVOTk
dJPHuWy+OgCcsLgyETbgebRkdXhT/a2PXd4OtyMI5ZIXj8IwLZPqxXd69YjN2zz1tJ1ui8lQn4AP
YWk0675is4udmX02nklfTDV/b9FBPvD0MMtj+tO/WWQLpodqof2F8AyGp1659epsGT0cYLNZDptM
wcATK49EygI0jabc+As2HAdPF3OKgPgnbmBXmR1AjlIzXmBU9ReGM8ZXoyhWeKC3lmCQOKkHikW0
FAcmWnFqQtge/qxOc4RXhoyTudaCRUS6v09Kq/jOIpG9ZOPoXkkyD5ElTE255ZrRjR68FKNhZyTY
RIFHgZiPqs/KyYZLXlYrTNNRC4faNC4MyF2BByuLGWs/bllVYXW4SFVA4PqRhcs7M5MwXmbSAmLp
v8V+zavdJk7+OvV2dmprm4Ghm3qkYQ6qNV7NPsVMrkObSbVc7GoYF9hIyxpB73TZRvQ5myUn0cJM
5I2ZLeUtaZ6ZwP8A3M9XkoWlrvAuIikObRbJF5/cxaDyevtrCiLldZINKvWaQJ+r2S+z11pUJMpO
Mn7oC4O8ZuKBHqC1c/5z2UOuwbZF417QR+4I0kL4EPJi6WLX6cQ20OlswWHF9nYqxs4LdCKi4cqG
Zfkw02gTmJOX+Q4rFKl1AP6GDfNm93KOS1mAiurkZ5WYyWFaKC5WvhttNKgtyZtj1hSLVeRtG9st
9mt6RbyzIQJcxp3f3zKoSoDWjNqjzxjygfWC4EiTn0FlhGJ8WKM6u5ENd17m4VGMeE65oRHHr2c3
Y7WdfCt+aKrl00/tj9sf4tGfCcgfRc54zXT6CAwWEfqCAv0gcq5tm+zvAuhC49VgOzwX889UOdol
ZuF8AdMVlW9//okfleiomHCSIVX0dfS+zgqS+LmH4ZncSrPulj1JtdkdpvHu2kpW731puBe0bt29
sfIb/vxDf5VY0TjhZ5LtjkYS46YwzA/KWZEa1RK5+bQfk1ieqGu6W+SYCGf1jIboQuQth0AIpOPY
/NAE/nc32f7Q6/hzQPb//n9IzyewMNK++uNW3G3/hjL4e9vOv7Tjfvyx39txkEXQ5a2NN2aZ4Pa5
rT/acSs8nMMabTcw4Ejm1//ydz8keBNLoNoHl0+MtrBokina/WRoG/pvOIUMeoSmQGFu+v8WqWR9
UH9WYzus/B7tQrYkSLqU7r8+yHbtz3pf9w01jP0coTNSHiUCWHoXxDdnpLxZoVK+eyJw+dtPV+r/
5q398NEf3BwiM9w81xWTFAukWpwwQUyy5VDn0evYGH8Zg7H+kp9/6arKhwhOxYv5zxJrKvnPr2wW
DRnmKbBuA7loGJmjLvRpDm0mT+S7WdVfdLLN9tzpZitl7219d3DDvNZt4LT9F/zTTWAt8WdIdbdz
517Z2USsqrSDTo+emiYSXCoEQ2mVXRpAlrZ/fq1w0P7T18fBATQThagteKA+rDgMgEiwGxqLZMAO
ZTRCDpiHNPHYWq21rlqIPGTD2iz0x279PksfrMi+EeTTMvVhj9b75ku+0LnIPP1Zs8pTYlp72gCv
sYs+CRbPkfE9NSpim0AUI1yE1SIejwDjqwR3lDc3x7gR+iOqGEaPkWwPjJs2M0Nod7mbKz3MgOcN
dnJv2dkhnsdXxB5BPiaoxYrNFA1dGKf5HcyU+1rOWIne5pW/gp7m60Se1N6doZZQN7tXVetTkht1
fiSvpz9i4ALfrlZirMePmaCCWa1h7sEPx49Ort+VmqSD6PPJZjPIk4in+SUrOndf+Rldh6Rjo4QS
H1hNyXaM+LzdWEafklTm4veVY3PQ3ZxdzuU4hvrUv7DAwaC3YOew/EzdjkNk4TFX5UWnKu8rul8X
lU5a3XjMsilP1/4zfbavtCj8rT0m4rW2l+E7NEv9YjAuR5GM16O+rPQoT6kdMsVqZzO5uijJBoMo
tYTgeY0dgZv1W5pmbyljnuPIQRxkSTMiWjLuNFW3NJ+TiyiXz1j9LxpYEvHgUL1wa2w1twdD8Qfq
LOIQX0TZhu2wueIAtp366tGV3O8/fyDF2qX/+XWi1KCN4ph4uSkH3Y+mXIL+jKbuZpJIpSwBHkMr
LUPsUkkell5c06mwzcc0FahgGEl9TSJ77fAydQyitKHl7ZqfYAKGy9qyG/ve+z4hAn4wc13uFXT6
0PGVfp+YVf4EYKzncBnp7+ef8D+b2l/kYriky+Ar/Ol+/1Myxr76Zbz0jz/xD4c/7CybVCM60c6P
0IvfdzTzN4d5iMD7ZOkfdjSbKRIlDJRF0nuQx7PA/X1Hs35jYSPA4u8yde/fGTD9UzHIF9Px9mOk
xY9G5NKv6/yqiyltOY5b8pwq1jPYhFHWQS4yUJtqoGt/xKv8oTUbCf0vL8J6IdDeCw8NPaExH0tB
GZsqd5B6YtEkjAif5vuAOiSYR5a2n+7Bv9gwhfnRJ8Rn2R7ODNZ/k3Gd/mEP6x3KCBIViFM00OTF
hW3XIRmHxjETor7Ko3i46tFS7aXoyKhvWv/NkdVwq8opPzJB4NwM99S4oNvGaSzvYY8xdI7bJ4vO
4UiwHD0xKMDGRa8LRTjsgnhZGS593IwYcyZaaFfdYDSr74j0QUZ7ufFYeC2JdaabNsZlZ7X6bSoh
lIQqXSKagq7FSS+ptlQV2dqFlf17T37xd/rr0SYvsV9VkVxuQZQQPo/iM943Q5+FEKmHu8xZtMtG
9/Xh0Fg9ks088fkqvRtFTx5NjxSQKn0k6APSjYPYm12mO7Hm7uvFJKqQbqjWwL8d0Zori443RoGh
fS8yrb1wlXN0Y54HgzHOVnPLUzk7j7j883qTo9y+WGJtuUzpHaPXl6cpIQbUivSBLaz+ohXAFT0y
ITJrYfxjuycsU22Q+sDBEYI2oelr7WlO8IvrfT+ge6FdIw34YxvN8coApFe+NbQpv9Bm9QWaGH1l
wjc2ENGQgruwrabBvQYFS7YGIQxJktehaUwdJC1/y3I57/NY3Bmo2pTQ7udm2NgGXVfHYLiCA8Ri
7fePojEGqheTj2/bLKAv8V5mqR8wR+AfOKa5iJMPSnY+Uls0IVWi9I1j8eHCKSgZPP1u7A3a3BVa
IaOMX2KRXxUlxCjhxK8joZmBoUhetkptn476XZW3INO4orm5JjtZyQOZljGISfFm98xvc/fYVBm2
LdD9OhmReDniOhTKvIvMnElTYbxlTrFj/W9oyHZ7zjTvOG3ybU4Tjxbg+xB51xQ977mfnoouvojr
HDHDEDXBkDQPMZ1+Ooh0oIbLJMqRA2mnBMLMlvqW544ajx5ExGz3lJnWqG8yK1I3TUcLWKu+lAMS
iRGoUmCO8lL3p+8OUR6bfGrB/hdrr22iWQQlrwwGTrfb3qSHs3glvVofJWtvedeoP+JrM5pek0g9
TcxcGE2gXM7NPA2dSHuMzBhNrauHhJdFgNNUFAoXP2hOaN/kxJcxPbW904ovOd3uJEI4j9kZJtmY
vka2tQeu0dGkNN2Q2RFe5IpWu85HO6PQcKN0A7xdewy5sXdJMaOqqsYZgaVUQcSghMpULI/oxtl7
lfs4Yp0JSrc4YSLwAkuvX9nMqx8F6/9srn+5uRoAltjb/vjM+B/l20vxUv7tpXz723X6rXp9af92
VJJ/VT8fIlf/3flv+rHp+uZvuLfZYNjSYLvo/4nV8TlgoleFkYLA1LUhK/7nMZL92LUFpmdsr67O
YfIfmy4HTJsCjkxAzhMkzSHT+DeAl8aHhghSE4PmhM5xmQXZ9s6ij59EHUo1ClnA1O6TscAPYRev
Ze3lW5PBVJBEbU2KlHzvnLTG7pu/wpZikIkeKWzQ7c5pRbLwKpyMptEmECT9PFS8tj9d5H+xexof
Ns/1KyKH0deygCtCvfFrYWAOqMcZFbZQ2EE+aIzptjFjiWBO/NPQNC+WOV07qt+oGKlB7vB6/Ze+
AC58waVy6R79+gVEbtTeaEncvSst0VymIVyFCSjGo22CVhNMBUrt3u8u+gSlbWbwPf78K3yoVc6X
ACKKblgcgnXvY62iLNTBspCYqTBiBZRqj33CGtj81engfBr96XTw+wc5fMzakIMW8+tPdZZIdfNc
NfuyQmbQ0TzcuV1NoE7h76A1puHsRBWmAhS3Ay4NnFd6edImcWeDaT4h2dfQNZjRi8rscdtOQr83
cza09b3Y+/bUHvuymvctjq6tVrOcIQh2tzZ5C4yoUPK4Nf6VqBe3jYazLIm4kHPjPMNROeqtYtdK
G4htJbsdNIeZA8eSXM3Rp2UkaykpgNaQDLizpnG6nlT+bphLvlWDfC21wtsgq4Cs5n8nxfzeXNyn
P79DawX364XjldAZghkOHSMOV79eOHcpdRmnDRhwkyZsOs3PGR1wJtkd+FORhlbCWNdtBn/355/7
kevDHcM7SjXPwQufPMvIrx9c1L5bY7vM9h7Z7luvk9nR9ZbuQGEp0G4iCkzdBQtEK5i2zbzQJYOV
0PVKbih0961M4h08OR9eFu8ULtV8g/XLC6pmnPcyo9vi+YJ6c9bQf//Fd/9wFl2/uwM7hgAMsGPY
xT70RvD9WFiNEgniXZSbRrPty/hcNQ0gMMe+QkXZyT3w7OKa0uM4mCC58/gC7Oq6QTrHHwuQNe0q
++S4CKcZcmDD1PjRZHtS6EozDSdz+fbn3/uf7zUwK8zWtAWFb1ur6O/njlQHslFvB772qLWraIFF
AboEPpf1QrdO7cNWpT7TLCn+4vS+ttZ+fcr4ZItDnO7Y5AZ+pHf1oohGdCNyHw2qZuxIZqq/klP/
/Pf9q09Z2RIU4/w4Fpxff18p68IkoUPuk9kt9y5T2Avk569//iHeubv/8ccAIBN0Qw1kjeLD3Ydt
7Lr48OW+EvI9ciO46Y6ieAIYr9Aq85L72sjeggt/WxpLfoHg8N2IreWuXrKtvWpwo4miybDA7Bad
rYHRjfWDVDzkeTYKVEQalrjSe9QcuIiw1K4FErQj0hNgPBPl+wBsdQcwHECv1MXWq+y9Dl82tI1J
hGnja9sq5X9TiW2cON0xguuh85IVwUrUeB7TEs6KYuGfmgnN/PngWqNa35Wk7AWJX1s7IdTnCZ4c
ehV6c1GXvRZL+oox+K6ol+giqmEaWZTHsFop60lXhTtXHrTJ11fFgr/DqvrextSVfcWaS/gzx6nB
54EzeL7LWDHFquWrM/AMWnn8qVlqoP/SfwRxxxPY5XxvEyWVz5gpGcSWOKgvDKaICl9X73lmzIx8
S+FIILximkoR5hYfhuDXejFWD2cr3HyzlrMqnryN2TRAHYkVImzN/lq2IguR2ol7DLkUD+nCRrw4
2taV2buR8KOHuPM2BYLKADHnPZiV707O7jmakPtGAgQGj4V77Gu1zdlANhkY6LBotS8uhNCNFZHy
5CemRwPRjMLeUgnZihzdcjt9BYBQBox9U5ig7MBy7kzCMYuTLeuHzPAfG4WcvunbboOblfQreits
LIMVSuyBQanaeycldq6o+xsKjH3klq+trtojQsdVawiewsfphT+YxbJtMif0JJrsRr6XfouVqBku
m24AmZq/cwrz95NCdB5b/FA1FjZH7avI5An0ysHb0N++ziMy7YzVeJmjLduIno5oVPOcM7LTQNJT
X6FIqMN5yN85C/PEcmfhAb/bRrUmgDT25yGnzUuAF7p8iyAFCETvlc8zUaK7DODZeRstqU6Tywkv
4bAVyqV4NatC3vR0cEJn0LwHJeRuyZJXtDnVIZlRFzkAOdGg/x/ezms5bmVL06/SL4AOJDwiJuai
qlCGLFJ0kijdIERJhEnYRMI+/Xyoc6Zni9KI0zdzsXdIQbEKJnPlMr/hHklPz15OVX15MWQGt50H
BUQKYtpl7c4jy8ZsmLx26OICUs9egpic0U3sezsowoOeixfofPlGssLFyri8LFy1cN1wX/b+hKse
AJzDbAVP+IPOm7Q15b+2QMkKg59332nV7dwVjARXYbmpJl5Wn63ZxmoCVJcN5pwpK8gWvP4Ob9QN
E3W4JIB8z6NpGJEY42zbBCxaSCUvlwvncsli+gpmLFJPB8ybaSyDrflMjwFso4bN0jYTW81Pm5s6
DFukhnl3/gz8Ymn9k/BQV3FRn9lkGnGxfBrO9Yh0YY6V4n7SVIIgSl5BUxGwfFoEC/fB0kU+aH3B
peneW0X7DEM42HhT/tp6XHXc5i+XcNH78lVDbGEWTySocqzM847SVa8VfuPN+UYJTTk/8hApBsiH
FvIpsmR/M7jiiGRPfi6w3dsx8AkQABYy8hY4tFZ9vpxOockqNpmi75FojK8sL3/F+yS+w0MVvZlO
AvhFpUx1aDW4k7Ujnv6oCoKJbbFyK5KuTddlH7uOfewYfO5ArEULnwcyuQcFUVaTX63hbEZ+BOKl
d3sJSr1LeEl190wDioOx926tGjpzW7j31DvVIRNsFVyKXmY4JtvAptVRgA34VzWRrueoB0EnWo8d
r/ZvL3c4zvJ13RJt5t6vRwG2APe64cIu76CBuZshNwkOOga6Mp6DJHfpgKzLpgowV7LQhKsBh5i5
I86uoiPRwLeCKSN3ymQxXiJd4BBM3DR4qmeXiEonC0mocPzQBbOOJoP9C2/cikZj4bcCxzgWsouv
9Pp2JoOVRzf9vCSVuXNz9iHSCdPVJRJjUEMihr85BFN6Epzx9I2WgA4/kKoNv+FxJcG079aORdDx
Avqsb/ZZ3aOai7rybR2ache4DccPZF+sOnlil3PFllwU/Bm2qufSXYqjOZXzwY6ZxciZB7musGkh
GKNndo+YULMfFl7VWLPoVEjgKRqWFRAsEEkDr8YOSSjWtwus5xlfAXvjp0R9qqAKdjsf2A5UBZf4
W6zRMW5TumlS2BsjrIEmA02J1jOOaRBunSmr2u3ZQP4iz57HVVsrMCpvEBO/pMNoOBdRPyp5Y8TF
/NEEXnT0sXECEkpyBVTx5bJWKl2+oDX8Wi3TU2zmMwcGehHDwKNeTxvwjxyMmi0AjB7EqO/JnQfC
Ccg8mApHI3wE5rQH8V+1e3SbQTt5KrsdgenShVvzc9ffAxgDT9PUHHizbm+Jku115qT65Iz0jDrc
DzeTnU47KOXhXvZjENV1iDJZq51N3Y3zuIlT1zyqZkleoF/SWwSUle0H0eBNEGRI1vpgA6EevNZt
/RyrSu8nKqvvBvIAj3aRN9dmBdgiafRjDpT5QJ2T7axYiGeoH0gYlDNQG9/OdmkPlcy2FxNjoHbv
LpRJaKmuqUEzgJpzU/9OIOOxHZfZAryHDDXU7fqE62EGTnAlGC7q1haps/dhOF5hfPnSGwUuk74F
g19iumBBqtxLpl/Xi2I7NRXBfi3zACLJXSoy/rfOxABwpMfQAPQCNwPYD63K7VgXtDyd0txCoaCR
XyQOOQrzo7SkF1zNPLHBUj/zhYRNDy6U6rZC3j5udGT5zkmH7TPASzgg2H5uBpxnbga7HqCb2viA
CZUj44VlYhqgpVppPoyZIJ+9VP0mE6LfA1q9onf+NSmSES82BVGkDeLdOMUpcznve+OvE4b5e48v
38YQKUELEOW2DgYJiUojd2FlYAdlldGZNem8ObVlUsNhG2dl9hGDHQzROnyGhsQBweHdGaPcGooA
0GHMlKCiHwUJ7zRJb4xRXWdIprEIx4/CHK8A7ASYSyMWF4bGzwZO286Hpx1ZK81U9sY3VxN181bY
J70494nMLVBf5hlTG7mrEkKmmffQVDNhHFsYwLtuKtm1a+WzSGYX5kJYyvrsVUx1uE+huiG5RaSp
q3T+aGu0EXjDy3YsOIGcyotfRzgQW8xVik9V2zvXzoIZ9Dp0NkSHCyYtjlK26nuywOrnJO6jxfP1
QdYkwenULvtRkjGZ1HBykxsWgWuN49jmntcucJsQHEzh6sgY6vCA+jK/tVb0KFMQDmy2KZopHYeM
uLeB5kH/yyRcWtZtvS5RCuaDM44v4dAHB1kN92nAiolD4HxGNRA0OQrW61xb3oLuw6HzBGUhp/Um
JM2GmvuCasGzKXtyZNe875YJxjaMmu2YdtPVZayUmT6+eX5yVxXjuZnFVwrIdm8OrrruTEt9hJP3
JedMQwXh0FpzeIUjlA0RJJc3+cjVoFEU4Niuya7XcLrg6XAje068IdDNHvb1Ey3nl2YuzyQY0x2S
M4os0L5pFHmNIcIz1FiPuhGkprZGpuFTieUCSm0W0y8Ng4rxhPJunTFP70wlmi8XI5GKNDlaO/OF
wwoDcWkcUZdBFQav9xugojxnxw8+1XalAK5n41PZGoABFcsN3iQykgkex1Km4NKIazEQ+0i26XRr
GLbVb+DCE6RXJMEwNOTenV64WXJMaxmaQ5XhKVir+lgk4hCbqCqLkMmEkb4mnPZKcQ51lXub2KyR
y4muJ4qwNd1p17WasExuYwcJuIScgOIadwy8tCKDC0aPnzOzwti83KxVyzLRIPIBYu76RD3XJUfP
MPbjh6RhS1muycuudHXQ/RxfzXQmN6FZTDgHavnQ9kNGp11ERsLwZ/JTsjsq+uhyyildV+dsYMQS
AnndJUEozvCjiPoWa3hK7eVrCVz6h8qmEAAfHxCEUC9DKLDb3mA1hTNic8XY8SmqfDWxw3wp46E6
I8vwcln91JuR9uGKUay+0oTgrgrvIZiygxda9whLUOrFnFx5Y/xcG1Wus8CPScLhxm15I7Ncz8B1
KNPXjNo7ciiCQtLcqxD2vaNDiKECgx7LTG/njDBGM1JGJeP+rXT1ldEDzwaEeD1byxI5LV8/F7A2
cP5h8mFYHwrYvUw/mBwayHvuwpSuFKudIw4b8+1QOfeXsxecesdKip/+Xvi7f2ovoCNpmQhtwndc
lev/2T4Z8sEfEgSzDkZF0Yl8IR5yWj+3DU3B3IQ5vxiCGVvPW0ZgYdmnVtkTappPbvs5aJsnM8iA
d6YUumua0fumEXm+/ySH5M60pgURHN9A5kUBKYdOAzdruPNKA0JeoEmAdfLx0si81EjMw39kukxf
vQl5VVd790IuyARCYT9b3jxdec1UniekUShK1qQUjuNWMzSlXsICGz8/ci/E/f5VhPXAmB764EeO
Fe111bVwJ5I1C0zX+SA1785NgvgkhZj++y1yJgJIe4NTQ3YYhNmvjzQvYEQkF8hyR8kRQGm/6pjX
Hj2LpKuU7qfsEnjp4zOiZbsJdN7eaVH/oSkWhAwzPKT0mIC87eUB4ILaZsn+kPudw4RzSY+dIk9K
vRblayNXiHAPJkPLzH6nXXUhnr5pJFG+h8jm2wQMekm/3j07G1iQDPtD0KJF5BLUdygOiIdshCTj
LA2sHjOPo9hEPwsK512N7MZj2FgHLGnE899X99pufXMtvAG0e+0AAgNGZr9eS2/1ZpPWozw4axBY
GwaOZkv7HXNg5Tq47RJd//6V6+29+Ur6owDMGE+YgsT716+0K5BsyHX1B9yygqhoZ0DACX8SRf00
dQpbxtQY8f5UxTFLhvL492//w25mTsAFhFCD11HWr99e8lBtnME0GF6SMUlDZ4tvz7/Z4v9XsMYf
HitdZsRWoSD/YUzFaWq5TMmQ4xWZs+0XWEYqRylm7tAcLL7Musje21N/ujEbtGZAf3tFKL+5sbZC
HXxC9PaQZHl3HWsa5hlAiRMhgVbOGDylHJ8bcIb09hitl1MxI8kk0KlIcFYshuzH8t8UhV775esc
ETQJi50m8JvFhRC/ykKzYY/J/GvduPPPfyW/CGNhSz61t39/teuU8c3KgmnooywuLMhCFOa/vtve
wio6rmR3CDL/VoFu3FWreiGe8xmCrRzAYvC+gUH52Jh4opr+R5Uhdjpk4w2WdT90MELYdbPlHdnz
t8rzPAYXgL8LYImVh0jI24Eg1Is5QfvnUIYDfZqC5NlrCTW9WXFkIjfR1+05pUn22darhXrNK0Jh
kZYuoAGBwsFGkcdtisaywH1WYCo8+3YUWuGTmSMTcXS1Oe0WhxRE+7hG2PcWOU6f4NRTJn0OaDOJ
Up9OjQ84cAu/alesU0cJoQZORpFvnVLn285ea2vThO8UVyUGzrBmhrWVtY7tLgdbvpjq9PdX9hZu
yrNZJ8nYJ0I+Am7+dp4bimFC0d5sDgnS+ZvZbRP4KQkqe2NJX8xvoYOkdkbroHQ2ehjMy23SWt06
RVuTEPq0amNOugVC/FVj9kbkggWJhjVvXla/2A6JuRtaEsgGBXRCMWB5L55drCh+DWg+aCnLAysF
Th8R1DfLbtDEeUWySVLaoVQXGNidwQ+ofPXcW/h4pl55Rn9FRSJH5wQY6V6NZvNOWP198fvIKrC8
QOybuJe/WWVlvtjNgBXJoZkxrh55MCvqJasG750vsn6PNKuvTRCC4jZ9y38baZiCxGhMShxyIZfg
WAy8aZYr21RXr8UCvsf36Upla3e5BRa6qaTiYvpwRgxogEHZpC8WJXwGbersl9R7khLwAsKp15qx
oninv31WNrN5u6ANh0G3Ef194f3ppTHAYwDq+mzP3ybHFZWrJZa0OaRdKXZwFDNoWsgwlR1Z54Tp
SWSP/Y+1XrqAZ/o2fZ3L4J2I9QZDuK5+YBHMEzE6cdzf0AyFBWOyEaI5mE7900Y0YstjoINcAIYa
5/e+zfodmeD7NqL0zH3R8YXf8etCtWu0qoA0NswvEaSWTT3v1rHk0lnJNhSJSwOXhHrRDDnAPeLJ
uNTP9VTLG68kuXfM5KUJxAyjF73mgcIbnikEcwcSGB7q3XCT2+M7RkO/n6NcMTh0EmLUiEkaf71i
hXBjCUW1OfjGnB3qrkHgGo/OqDepn2hlgyAzi3eGln9I+Pk2VgSMG5Ow/XYnFaQOY91a0ApzGpst
7HoK8ck65widHdNS009N8C8Vsj91tKeuQ5tG5dozpN9uRNhLm7usooWAXlC30xJtDRaAuKK1IvYt
2WxjU2KmoBp3tqufrYV869ITqQSFk8X4eY9oJNEsc+nXruMXx+ozRA8AspU1bCp0X51DgoPWNovt
jwWgq40wGOo1wgs2C0OHfeqvyXw8hgd3nVAC9Ly/AO4vs426cMwNM7fvayXsZZqvm0wmFPFX24CQ
3TTduF8WluHfd9wfwwY4bgA8zIThRrzNBgKsCZRD2EC0Mb2T0MkiTL6XveWigUJjueYMpMgF3/hC
25xutsuLrsY22I29VUSVp8Yrf6ZHdIn1JfIWp2zOMI5xOmjvWltfLqNNpxG4MTOtvSoZd9+mOS/h
73eyLrpf4z3YWLIL0ExQFs23zgIqcRjBIh9zwApz3vTTWO1Kf90STjpcJyost2GwlF8c3ON2YEHl
O2em83v8hagDrB3MC1gj8RZCEWILjYRyVR/MgilabanpTkj6/UFBJ9xG0vJT1bgl7hupPPWCPSId
TsgJIUSCMn9yZdXuetMv0VdimXJ2MVHyGQB5GF+aor+Sc/0M9z3bXuYPtDaEQZ8vnvIoxdTs2W3W
aYBLkz2nKXkwy7XHtwp+SaT07lU7Op/Mwt01ZnhWg5VtXG9x9/OKeSmT8JX/GHoUhvkTHHNxqAIA
NtJn3Pj3l/SHzALaNwJAeE44nMre+hT/gRQbmNVV+ZjWh5YhxWVAUKKLAu+YiVCTsQ0XjSpgIqHz
msi7LTBmt3H2ieFBc7qMYRYTUG2jQnvLaX1frPGt9Z6wDM6YizdfKib66KMxi/DRSTj8/ep/j3tQ
fMko2PcmZerbGqnXRtOBgq0PUL4PIma+uIYKOdOOvHSjirh8J+r9ljzjeUccsCnKUK3gYF8v6R/P
KxVdPCtJJUhru9nMjQbxvE7uL7OY7vJ6e4ZCA/EFJAegkX4dAw66DTZ2jd6oapWMXMAsG6Aa7wWP
twfl5eKgQUJ64QT03fXn/7g4bw7y3MBl9ZClLQBuxTWgssMUgHFZsT6Vvz/+P3zdusVBKtmCYuK3
Y0c2bscgUh5Gd121YFhng4TK6Vg71I7vZZAX9ts/Iwq0FpSe4HqvQDZcKd6s1VQNTBvRyDykaeqe
QzyxiYXK301OuGfUhO3pKMlIshUXDb/PPWaIDhyFMKpbBy3mz6NThnc5LoH4vn7A2HKKWk97G2cc
2mhkj+7ornTXRYBsbTjO3qbRVXau7BwENcJ5h2zR1R6RA5rxqF+vs+t7ZEbyU97DF6rzrkUi2MK9
KAgaBIIIc1ujxpDOSVyMMOx0OE3xuKcj2UYqaR2MTxL7CiyHwURFfujwRIGm7NsH37J5hgDKz15r
5Lh8y+RDRZ28XxBb3BVVEOz6lB+klvEiVrSdGNv+fiZR25cFXCM/pVKL6wHAORkdHUFFWz1jTr2r
ZGlfAVB1wYHJMN95ZVvtq8bJrvpcDSNIi0rSJYttSPdtcAwRtjobTYznqfHYaOdDkmbWzqA7fB14
xkL7ZxFf+zG0D6gZue9sNPttou5bAUmYBYiWqGRSr/+6lsOVL4F+eICoYx4cL3WPXYAaqTqTyTa5
VG6VJlrPbYV50uhguzuv2uDrC6yls4MH4TG/6MnrfeXnu6xIvxdWbmNe1nrQLEaPltLgRLMR5DuM
9RiEV6raM0RwtmtXYh/Yi/E016NzDtePz2v9QafWk+uDNhknDySJ29tRr8rqaOVd8E7D6e3hBeyP
DcUOJo8h0JhvljqRU7h2K4N9qpaDgiBAi+id3fs2eF6+wgdh6KKvi0nlmwdMFebSCEgCAAN5g7oL
7ddBYdsomwUwiMb7BHGy96qit0kBX0rsdEhuqCcIG28iVGIESLSnyt+3td9GDL/wiFjMlrEb/AHU
FGKcWdzuVCsz3jpadu+0tcTb3B5i7ZogWyTw9FPpuPy6qmYo/0Ne1v6+9xqDuXze8bZR6UbghC+M
3fDUhDo4EO2eaDvIQ+F4w8e/R80LAu6XMLZeAy1yZAIDQL8rQPyfUZpto3xLGd4+9yQeg3PbHUvH
VhTiZrds1JCFmC6Z3TcskONbHqRzW0+gTittBY+G9JddOvhq241Ovu/LJXg2O9RSq7Yju0ubfSlT
9TAi+HBylc/t6NQ/t63jnf1mbD9ZCagEnDQF0tKhvrP9BEH/wSjeSb5ci3v45R5JYOEjwitDEAgL
2TfF/ox/kNNyhO57dtV5tDFHMptEbMOhHq4uNxH2aXFnjol/7lJ+wOAx3oYo1u0KAXYEKexlZ9OL
2NppnBxD1El3fp1jLAye64Qq7WsDFuNoDB4QsmBYdlli30urtKNGZcPVsqTdsWg9BQJggTM7+QNT
7S4yXEyJVoO9CP/0BYRPvc7YK2NfNliQqtjdJCji7aVqu9uJ39w3mBls0hTxWiTO4Y6Mxd28NJ8W
ldsEof7KHeFHLQ4WXUmbDjdW5utno35P38D+7aTlcdKEB1Pp0wrGPubXJdOEYZwt1E171K3onfRY
q/j5cM6S8RHX1xjqs4Njp0ZAK0N6fGvR8drmbhMcZVD4G+R6IHExX8a4iW2WV0N63coEBSlIMIyX
w+WaT/HOA9J9TISd6kgjCdnlBBNoNOO/L3kTXlPlmVtTA9lzdefsWwuH9hLBuK3h1Z/QJen3w2Q8
lTSkd3JBM+fvm8b5LVohg0m1SdvIDdjAF8/Of6Q2eaZnj3aKu0eApf8QwFH4ak0jQzAuHFpcD7e2
rwN90ONk7G0D3dh5adNrkevgODsIieRpjINKUZcfs2SFd2RsO7TUXQQ23NzYW2PDwvTQi1GA43am
Yo1goJtvRRbkKMsEIprxIJ7mVIAlcB7HwX52DIHkSug/xmn2g1qn3zTMp66xgfCPCaANNIqz4E6T
T0ZpgQAd4omU41Xa7Eq8XQ4evYGDw8hvz2CShY4SZzRhRvBOD+dPa4fJhUPTm7jzW1I4T1nKjJK1
MxTuK2yD4G7dKwpO1RYx/+GdNq7/28mFcIFrg1Cjkwu19C2YuezpVZm9JsICp9rhBho+AyxLrxvE
OLbmUk577IDy29TT6bUVKAKeIv0SIw99Gloy+GCMt0wTPw9hfB4T7yZe3G4vQPlM3tWMrfuundnX
Qw7klX+7bcgJd0bIulQ5x8dqpbEnbX+tu3a5t2rAfKKF/y3qujtCFRNMDqfqnHf4i8jETvYpkPiP
41CoBwb+qNtY6XDfZBk0cAuchnQELS5vaSOE1YYbwFzhiYnsvYYfcwzlTORYwv6m9Cr/rGBX3Iwm
YblrpNx36+UwMcWzQJXDR3dmbXUDx4yR4rq3dS3UrutWrzpuRn5rmTXKY6oyv9qxjw4bulqIAqS1
sQ9VSdsZe7g9ckgEI194UUoviAyUDbG8s9H+sFpYJPRiVjz6ekr+Gmk6zytkmYCKDSAqEkN4fqpx
OZxqp975Lhvi7xv79+9jqgginRSLQt19W6V7sgIZvGBFU5QlCUjDbgA2F57AHAXHdMEd6e/fJ35P
LCnbYEpT8QJT9+FL/3qHAfA2nKgSZw+OyUbkHmSoEIF3zkoGUdViptfo4mRR0nmYOffqqDrChSdb
O6pLNr8/VowCRh8XKSrnbdhzUJn4fezM2lGAEoQ+NC23knm1eig7wrVbrYe7iyETRjzFHbKV35Df
EqgWQOjNLBadJ4pv4BfRDfVAheZ1hhsMvcmnOuCwW7zgphhSuWfK8IqmXb1bRvdV+sU3K+XaDVNP
+zmIl2v6WlYk+onGSq2euoW1Lgwi/+VobSSpFpYE6TOIMhsxXwD3ApAvGBF2UxhySuI9YF7XaWFe
j9rRh9pbT1P0eLdJQ14iM86ZvuzRSFj36mwRP/CqQqNyIb7JgXW+YJOzQ7K/O4KK5+yRhN1ONu2n
LJPGnudmR4XighofsiUdl2UXGilTgLmd/v3TgvWezb2xV75BNV+DDNn11thuJ6AFm3k9dfPUwkYq
kz6bhXCRiZF8QE8LD3HqTqk2gxvRMsDHvqI7hToJjp3PDq1S/gmaItiWx6HedTXgbzDf+qCSTt1m
AhRRpeOac4HbNFyR3w7GsuyaQXRRP9erHXUMjxd50AgN1eCATcpHb/a/l+B1UfF2rBO7czjDqbEj
Ihir2J2DA/LzpCzYKW0u2x0JsQU2BGp4hsEpgPZdvk1Lnn8a2pqinddxWe3/33if6xd9rxmFZAmw
3v/5P/79xatCwS9/iSrNAXzf/1Tzw88ORb3/TV5c/+X/6w//4+flU96hdAr4/cJb4SV/4XSqvvr2
Pf1W/Med+vbjZ5f+k8n5fz7g31RO/z9XERfa/bblCvy+Sa7+pZ8QChSBiBKhK/CPpVD6LyanFf4n
5yniJDTd4X4y3vkvJqflIbpgIqDAx9GJgd3432FyUli8yaSBQIAvhzEKEQxxj7cO721SNnPGoXRS
WZbkx37p5Ae/Q5h2Z8c9IpTT1Bf5sSyqpt/4DbK6CAdUfbtDjdk60RfLI7S61GlJK9e7ESYMmc2A
xAvWIXaXfcESOMSfJYBBg6WWSq6W2oPo4ioLQ5nRtJPb2nXL7Gg4c/MFXYW02tUiQ5uP0zyhjk7K
Lojgd/qfupGQKrQ/4vHZDBGiBihAZ4Hz0iyzxCOaEoR5LXqUxQ6RvGDZLiiT3YcCbZzjhIrxsrUm
c7aO7YThqgIWBvJ4gGhxZ1vtEMOyblYnBVckNxXCFffkeU28ke2AzIDIx8bdtkbbYSmAwehrmpn1
AlwiYKc7juE8VGnswEfDReC5hb8FpiSIZ6SADX3X5Hh6g7is+i12Y+jX2soZvqV5N51cnE7oazVe
9gXcR3dUscPBPdamyZzAw1WotLyTEBpUc0XOugG8amEdCFnhSXvW/Mz4KMBNEZ09ZKbNOjtagU+5
YC9K0nWa89KNms63b6xSjDfjhL6CXaJV1i5OttzaWdmLR4szSmyUM7fJ3gkbO/w8oEt4mtu0E1ER
YvG8XarEatG+FQYCgEWiVXZqu841PwTrc5HYGNtIuOfwIIKnDnrImo8w3Y2hZz4z+4RLOQ/rw0pP
CF4hZVc1Y8THONdoVLVYLwXl/EFAIkq2pZ8O4kPiB0yeDV+P23zMW/QAVy2m3pwedGa+5nOLCqIE
RjUS5061QXeYHpK1Ua1Aorvv5u0wx8stRzNy6zYmevPi6H0mxQx6EIB6tkm8EQxu2PuPNFaRxzUE
zMZVCcjAgSVy8viR1Ap+fzF8thqbysZjCsr6ANDn/hBleaoGdRqnpDpgWViusx1ru2KYI5sG3k1i
2dWVx7J5QDLOOOFzJreoEPDo2jY4QDZaqdCrrDBgg8Rwttg2Iy8QBzcUKN0NUvnAwgaE9op09Hmr
TvrDQRb2ECBg/Rkfpup2sKV77IeVRBXW8P5DzDXdocPUBa+jyC76+sFXTn3LHJX5vHSREmXCtgLK
zPhjUkyPUqNiOSOheZp7nIJb31dXjZeu+gb4NPuTjWR8ncPazm3U+4QkYUJTGZOzeO/FhRM51Yg7
DPYBmyGmlSB0f9MyH27BsdNpyXGEeCrS5m5oFMgWcxk3PfwSsudUf4jToiNLmTW5Cogut8QvzLU4
xhQeYsMDVSoqxL7xWFXNz77P7iT4io0bQ08pNJqUVd75H7RmlyWBAVCPnzDbltUz3dyGYGQ/YW+x
tefS2Lhl/AP7pIPoq/COk9b8qfKMlV43143noyI9oqJqhugJKzm9+pW+7hmgbtvR4M03CLoaaPUb
AIOTzVL0GniDC5PbLgz42xQfy1x35zw1fEhhyKtT6E/b0ffB4uKG+Gxw3fs8jxfqMqc9IGQx3gSp
BBEeGOMj+OJHT8f5VeGWPpyMYqA6VH4UOJMToedV3asu6yKU5JMNo+DlFtxS7+zmcnKPKYaDUPmM
od+hRWmbW8dBjmkuWgM7vdiaP+G9guuOHY+3YYh0qCd9iRWR637XrXptWtvemfiJXU2Y9OxTgbwF
RT2iFXIo79yQnnSiOwsLMhvWflNVe5PalZsfkUZxVl8qnCVplloxkVAD5YncuQ0+j6GV/GjkABT5
H6fq3b/6Ob8oPV6GeP/s84DjYEZJWc4MeC0b3vQp61q1aY728CmwukHvYjGW3k5n9fyhg2Pycay1
Q4yrYRaMNn7qm0oN1VPVGjPdk0L86JM2zM90WYWIpHbBMGC5Y0KO4u0D3sepajOaow8y1scBIGLA
W5pIoYn05PZlMH6Y4O8jxSWXEUlSWz7MsJBsdIBDb3Cvm2wJbpall3dpgEC+0zbxalpg2/gKWrp7
ARe9Jmap91l2M0KnlZyB9PnwlTdmy6dvYh+aQhjL7jSO/nzoie/XSNFM+wLJ5s2C/vSRyXt4hagJ
MpcWuR3OQnTLw1h/CnOj2XmjAdOrp5FOKluorSYPYQjtYnM0cW7poKYTD5Rx643hMh8DTxkIyQ6C
cvQAiNUD0QP17qhM/HjPvpMhg6cQx2biZvwE4TVfdZ3lnLArbJetckzjQUqviaZaux+wLbXvOjtF
4HOcowWP8H2WYRchqmWlyOai/lDi6LENwJh/ACLrfq6Mxt4NNrauumgZjuuqQ2GZgWljpnpvY8Cd
ukG17WCI5vP1EOpvtRaHPoWhYNGTv23yl2GgijZEcK4xRtu6NDp3TKS6h9SU8MZqHhz5xrbqV7EU
OuvGEWPF7Bvp+qqWziSj94crbVQP1thnt2lcpoC/be9uyNKjT3P2xLGC3aT2ik/Kb+p4gzVRe1r8
ntpjbrohahJIMVAJqud8BmiAm+sLilPuVikHvtICBVewNj+0fiseM7yDfKAKDzWWra+gWPA51m6X
7A3crAwc2tx4OQVo0idX1YDYzI9idppn+sH0yALph84Bmrt72yzNYBGUXXf6HC6T6HdIETffZsRy
viDI6iyPbmzgBTiD0pqRUUvaL8JO0tug0RgepZX3Muaxv1J8mCYkrm28UOp1wNy9AQUZod1DaGDY
6KfouVtl7j3atqG/26AvNtIKy0ermvo08hnQHtwiGLZF27vIs6XqpsfSBL0hpmFf3TJIHkxHOzco
S5ERtCPnfD8mO8+ZssjzjOCppdOxcTLb+0ZWK32OE2wDj6PZFlfZ2BrQ52DVmJuuMOQDUsTjuGXM
ZWPLoPCcogBasXEOCUcXEewaLOsn9NATIhbISbX07Za5aXKLVFDI47Ryjn0fGDsT5PZhrvPy89pP
/olKNVZQUM0sQmTNTKdpseeFL1OyEfrq2MzhQvQLINtF6CFVnzwXzobEpfm2dsrhIcnD8LnvqJyz
0qFfouLkYTEQsdvYpqoeuQz5hJcZb7fNOJpwZTGvPGxYr9PWcSGIB51/TiVGdlsVti5GaXUXWcr6
MsOUuqLxAnvCnGX+pdCZ/zzH4+vQ9IaJltkwHIVZ7a054+ga3dzFc3WevoLNUukGHc823XTQFb/B
bR0esWlxnuPJRyzcKoe42SSdFaBVCYHtSGfI/rpIeMQcSsYXT2f5Aw5j4bema6cn4aytK5rukha+
hUInWbh7dHJzKCJ60BbWnLVEd9ZevO+95+THxujxRrPpl0+R28uec7Wmabx1Jj1/NQNlIIWILMCm
inMby8Mqlgin5+2N0/vjzlys4YdZYszKnuuCz1TsSgPcswz7upa40OBuaKJP3Y9zDOxyysptYygm
o5rD4gv9o/LRHQN5GmOoZ04CZhEejkMTzIkrhCmwYLQ34xB2VwQ9hF5MfFwLBMjact5gNGt91X4z
yyM2V+nLnNcUzWVcDDdNvuAFhDoz1CLpd8s1VpxMxxqZXM8T4WUP6sT/QTkrznHm9Vdpbil5YC61
fII2ZjWR0AIsaDIZH6vOTe+0VwUv9ST0I4w+mozrkqR4knhuqDBhE5Z1TvMxaFkjW0Vv6gxhRmBW
JELqH+SecZfUCUrStK2TO6gDaDuZmfFhzieCvW+mQOamBftA3TsVdLLSCvGg6Ez3FvtQmngMNYeb
FqLblyW17RfajDMcvdxqf846kSecTXAjxXskea4mOtd7CUYVvRXHebWyYUBfH7JgVOoMon2b+RPm
4oMcNiqX7ScB2nHcGtVURgBJAkzx0JXHKS+YcR00uolZ3/9i7zyWK0eudf1E6AASSJjJHWxvuA29
mSBIVhHeuwSe/nxgt6RWyRxpdm/EVSikaIWqSG4CmWv9NpzaY1PH3gWw0rvj88nPQ2swddpN/ZpV
A/XOvpnnK/g4UVLEWZWvGYVq1SJz266mNSGSayMY1L4mppMya06AVSyBT2jdK3ge41IVF0zf0aWL
RLCrNLNxF4MVmLs6j+gYSJ25ndyMk1Ysw8gCF8rr1nvCNEbhhiycR0Mzxg/2GLMg9S6yrEVFNtzI
oxDV53pUI0BbiwdrrIcXoev3vdZWDzSTVtGa6uTiQrKDTqV2osJdPwn5jvV3Ll8Y0/YcBULtKzkk
a6TfzUtXmc2XCnQ3W2lD4d4XOq6tiQb1p3FIuYno2wz3WZ2FqGgdlwRuzGnJhkFYOwUFuuZNV2r5
PgRhgjIww8eaPNDDmJttfUjIoYi3Xqf1rNq1O5xzL6wvjoutISUzj8yCTC1wAjR7x+7dV2J11H3N
uKVWBvbjPauSHWwMZaZ7NPhZvSGZL5t7cpn6hRgL51IZ8C8rbAQkmrn9uNWrwXynlqLek0hAMbGR
KOL7nRGbUW0NHvtkyQQWAk4GC6/S1FWrh2wRpXL4dGjj/RGUqYZkK3azGuMhnTLkJ3Kpsc5SvsgK
7yzR9FerPtcEAIQcHMaieHwKhpieAD5iotc9r4zZpSm9a1ZzZH+/oNKDRPSgn8wVNaIV5Sdd+2DJ
NDbIhFAg21QZ58E2wM2/QAJSnVz6XraQeLN/vFMvZWH6ySXTMptnuJ7PzTIiNn/FeW4S2wBldS1h
x/p1zyYcbVVljcwXTjEnjjMVIYQRxRr19sDDnHrToqQc/XOqJ/PYuG6ir7GZTJgMsyAJVhnM4xHd
VaUTQueP42FIey3YE3pDJRre0fGt9Bjb9C7OHlXlVT9lMrh7XfPyZ0n195OX9x0VF0IftoOuGfvC
AFC1bdXtaf1ylxOuy6/EGEY2YmSTmF8zOs2XVeP2q9HwG6SGFCpzJVUrOAb2OJ1lLBMOa34AmIJA
zJGfFlr52ddXyofJM1D+CZbIwLMPDrqGzZhCJBEJMt33atTPKejMSmhJsfD8horASMXFXWN7/mcx
lejlZV3dp7oaubObptt0RauxL7ZmdDcBSkGUh+mz5Wn9mYpS9VCUTo4ebMIGxWetXyIHhZ2Xl/6p
SXV56HnhH8aW0b/W0nEXOIqEqUjlX4Xr5BcpavnAY88kHFsHA1R7r2htfgna3jpmtjEdnclAQSrN
bo86nxyG1sy3IqkWjSPvmcnrW2Tb1ZGgBfQ/nVnsEjuyX3V+cx++ScohO5Dc9JFVr/zJSG7KLo+u
jTMuganoJiBBJKBGGZyBlozgy7XCRx/R386S5TqrUxOVnTcsC/bM9WjK+oYsglevJ5+EKsZh64Ve
vYYywrVvozcCNn/2OLCAl8thL5vo03BgBkArCFurqbpA8848ILqDCMkCtoM2Pfoutc+wgHS4GSp9
Qw2cnyaLYiKPki2+ybTZIWBpd3C4zkpr3XjDz9NsnMginpO8rYLL89+vcf+gitClhUgdOt4yLGLu
7F/Yeo3jNx84SPaijwRj5zyluWYRnMsht4al5BEalygRjEXZmcTwjDRyEizn/6+Ot38gutGZ28i7
ZmyV/zLdX7wpdedjKDUctR+JkIz7pv0AGh/IBuotr7m4bm7YVxpXHJiEKRvu+rFg/yNxooWe7Xm/
Q6t/GpSQ4GSjqINNFlNtT+iAzKp3W6IIXlmNJp8rXLhXSHU+edtMX9xKw2D4DchlQ298OLnK86Vg
a3wG/tCIA2nNe9EP2mcdUjCIFzh4dHSzc8g6CaKXNjJnM1xvnTw9AhQgcOGZvioelChUt1Vhx6S4
YP1Zj5OeHIkeqFfmWJgMEmZwGbDdLlvkSneOk41HtMXmqUsDrkNyczemSl+EWei3rQgOzkB/hJhB
S2eGL8tvJBNnCCekht47XAO5yrvyG/YMviFQxF76V/kNjAqrcn44ru1elUzquymYjGeEhFW1qAii
Af6aB3bVyo58scCNdtHc/01OD88pZSRM98b3pO99T/3qewOI+mT8lHnN2QkDdom/9wSjLcydjzVg
0eKVFEjJ5nUCNMl+R8KQLiQ9hnvNF48QJN2+VJRFaT5IaDKNkq4ryqLRK7CzoEVgfXHnTSabdxpM
9vzjvOf4oWrDtTtxP8fFSHaHMbARzbuRO29JBPJGq7rM5FZUlPjFMyK65DTRPtLvJUvN+1Y8b17e
vIOJeRsbNeDtipSKkeqajnWt9EIx3duySV6lSMt36aBzXeXkEalnbEF8SJLaxHM7sV9uB8sGCwdI
L19qv7TzH1pod9E6lF3w1ZrYlq7//n0V/2DLAG4hsRB7oICfIDf8F+1Wl9O/QmZFt4+YtU6lpgLC
a6Jq1dRmsqds3t1Xbp0NS78r/LWqCUdPC/8mVJQHLzR7wAHbBhVo2qRRZU6qVbnIs4SeSa+iA8UC
J32Bsi57itvN6t4aiHkoBWUvwRgNuHLVBaHhZcArTZTAYPQ3Boa6FkJB+Z/oPs0NwZL2nm7a5Jak
NUpwlB0fTNu4L80QKaN/JaIOc7YfIMgw/Y2hB/e84+YZl/CJxQx7tmbpFB9GutQwO00dV3bl2pQE
V5LMDZsBlbtD3/Wlk15tO9aveDbQ8hWWDB6QnuXbgNiddaA6LVgUZjGAvZGJdeZwqa4uVXCbhkmm
XUmwZXKWiYjs11KlyWGq9IyQYoNEBxbwMv/hdHMhQuJ2DJKyvQqvb56mYPBXhRn3s7YoXXm4UzO8
2g4FyLAKr0qOWb4csqLe+G0SbiNs+gm3ruXAWcTtJnbGYJe7klfOsgebn68m22DM4v5H5nse11en
+1s24ZzS6sYbZ6EnIsOF01E2Zeu1f+v3XviRkfuD7jKI1r6fa3cKZASkICKtOJL9IY1RRgg9Ms5A
ixNPJUNnGnvqiEhWe/PIglvz17Xww25+l0SxK8B5y+pRH33eAGymi35o51LJsg83Nj1YmOJkvxlx
mr32wogetLART1WM+BH/rR4ui77iaKIx9HZq2mBFFKR5lJxSS8tx2nUB14AbhAATJzTix1xvMMSQ
H43qHXupdYhM3UpZYmz/BouUvrWdUOe99mLzpsyKe88biLdJASjs75sIcZd1a2t1cBro68mAd/TO
X8RYZt1rThWeSXcpJJLxzScZreqmpf/NM+kz5VSD6k5w2jMT5TcprJQXjTEBS7n4ML5ZKw/+Snwz
WQ1Slw0EtPOUfjNdudA0SQX3MEc4cHrnK0638jUA3Yt2JrKl4Iwx2dDX8z32w+oGRYeWEm7FIADb
Fs+E9qKsFf/JZmDaJ1Lr6n2dknw3DNLYo6pqmasr+sEWnTcBNZFNlcS72LUpLB0BMOSqpnjmaHYm
80T1jemqGd5NpPFC3w7S3jZ4ICjsJarnF0TEMENOdKj8CQV/7zmb0ii6+bsm5gWm9KhCKKJGK+Su
TMbm/d8fVBCkf6cCxDHNYMEhZZGIi3Bt5jb/JNqiV71LgESdvRcQHuFdqqS+Kfvb7y/yX3Hc/1nV
zUOR8e9vEvuvpPbvNPZf//H/Ho4b6TPKlH/NcZ+iqajfs1+Z7d//2F9Dii0czrh90X45/HL+oLVJ
KJ7V1bx6eBMFQpK/8drWb5aJ7Id/IZIxHMnF8kctgDB+Q7VqIxZGqsOfte3/htf+hxtMkqaKMhT3
BpS2ZDP9+0eD8rSJdKms3+U9TYx4bcrtIKtsW8dU2CK52Ud+z/tisBgH3U/h2/4pkCBVf/rI/gmB
QU3HL4/o/H3A4WOvxRBtAZ39/fdheoFWGIXfU8bbpHTBGhvLTIhHXtod8qsjDGhlX32iuroI9G8E
IF6IwD/FzCCLqjYfuopIPbGbuBeis6nnRzPGHhm5rWR9wpNlO8fSKNk40JFasr0duxGnSkMdHkFB
cD2PQwMBQqyu8nMqE5urStRlSIi0oFWOu5pWY8DRLLhocZmR5Jw8dJFZrxszeLecpFjpoN8ryblY
kgdXA/7zhVadixieY+qlacoHc0TQ6o/kWJrXwePKtqwkXPDBNjAhL6ENWRgUk76BQFwUyiaHPDM2
kta1UZwKrdjYlUmi47OWTOCr8T0pwQdSI3fCdA45fDH2BCjB6l4p+UpOrbMYVXJGg90trKCXS2UV
7s6U0TNes3PtTgdbyZ9FGO1c/U1r9EeQazgt51TL+s72ja1oizWox2oQolpQERiAmZOZ2CXrOYiQ
XucfUWXayCDopM0T+0t4k79vpACbmcyMExHpg3KmIzPCSXOxXJG4ki4GQzDf2/dZGuxr/a7JnSWe
Axub9HBfqeCKNg3cELTqwfQSIovGNQE+rT0cqth8zAjBWOiaBSZ2X+Xqq8/cvWr014lEjBH71iIc
ypdgiDajjI6iMiWKeiAEv1i3jvfI47VIJDml7Ajo4infafv1qPfnQPNf/HI69rZ5h1IbVbbTPRom
yijjR5Fl50bvj12vgNVpHC8UPC1sAKpjkS8Tn7lDteyO7VJYCJl11gSHR7MK7UcoMn1BgPOPAvyb
OO1sVTQUeQsCVbK4/dTbEkha98n+HQ+An2tgbTa88DnOjAcre3bqerrEOJye+yk7Nol166u+37rj
jBvZwbC3hL3CrnckIHNlV/mOjpkXu/N/JlpxGqdLKR8bK8NrSfE08aj6LTcpQ+cw7csgfraMfIAc
L6hQD6/Up930qlqRcbLppXmxxtvaLU84Tim7DLlnrbG4Ye/bdZ0RrCiSvbbUJa+DuOWuRevcApPg
IZXJzg2vfWDQ6sww4O2b3MyXxE8vOA6u0Zz1SsL3c0l8MlW4H/4UreMhhyXUjPpUUT/Nm5PMHenm
elRIw1ySXFN3UyVXKP/lUBq3WUYtb2FtqFp+AiDc9XSN1i29thhAKUNlytHSLY+Gs9KJtdmbRWfB
4ukdraP2ueiMQygcBt/pMeqFXFWd8wryS50V4CmmPwJbGTIydXFEsyWsaJlPrnPs82GNpvzT7q2r
4YOlWYG4eDqF9xX0XuQFe/yNb3lS7aNO/igSWkcQvOIiIgRPFNmGBs2dzPXhBu4ZoamDqY+YtbtZ
57WcfP0SkHezzo1rTeOR3uh88pByga7t3TI6ZVE+rKCgkdfW/cYaITA1W14pQL+lyAN1Ql4+IDPa
9uhqlpEMDRDt8oMS3BUdqE8Z2K3N/7AScbJJkVjTJ1mgLKwfnam++Hn72o1ZCVfehWgB3adpGO+d
ATpKeWT8tUd6cxd9Vj+Ap10ms3ptU/kmWgEq5d/oIw27Y/KcjBQitiU/B9kUo1as6x6a04nE3Whp
d57Lx5MhqARwOgC8R8uO1MRFReobAto63jnusB+gyoUwt1NdfpkJ9Ypd/O4G+BbhM0BaQ3Gih7Va
5FWplkbl/kSd/6QkQkHgmTWs6qYy58wmi1RZhCz0iBr5zp28d9EROFU1Hs9fq29TG9mCiLVHwcY/
B8quecPOVDU9V16OhRcbjJV1+VLPmvc4cXgxUKCE7fCK/vlKVuCDNrg3et+eJ6H3i4b1YdsQqyiK
YD8F1k8kl9DVNRGUIGk3Ex8rRcYn5sINIqMIoQhY/jgriDUacZdhjX29Vv6a0vIjr96+RX+xhpS5
1iWCqzEM6EKJtZM1l1pGQfQDPca2mdI70mQJKdWC2ybttpXD81C7fJLJuradU+eZ+2KyDkODcqg+
2FS7J4Sf0UgGM0OMly1fOzN59LNmHbX1FvhogYp2WRUcQnrhb9rQ35a1vSqLt7DJz5nnPPe1sVep
t2pT6zg07W7oS6DSfGWgoYd5tPd6pJB/xTTtOveVP6xIa9yN0bkq2ucRtH4Y0h2Jl+T7Gi/IFS9i
6FH7e7Sjeduo9YmHbPzdpIWz6Lx+sP32vU7YIUKLHhi7fnZpJZMp6CoByLkndkPa3RjOjQK7RiEU
EVVX32qTeRoVJxel2guPwvOFJp2rVOHPcjwGvbMuHP0Sqq+sn85Y3NCboHXXzS9UplByXbzqUuPI
/Eb8WfQVifxHGFgX027Ppl3voiR4QEK31juKfmTtvbgxQY7dV4vatBo5OtkxG1mfZaV4CYsXXpGn
apQHJ33rXdLt+vwtwCPYJPFNp3cXB7WrSWDKVvjhCf/LM3GzqFgKICV17oi/HUvKp2X2lgVzi5xm
fXgOlaed2BVqPLFlZrQHmcvYM3aZ2eAb6N67qXshBnSdotrAogeSnn9k5ngMNQIA/UWuBMaKQi5s
4ncbkoOylK76GPInuhfZweRQCPFGcix3GJraDLdXt25Vth3M0xS7+0GkF92LfvZuj2YqiOAIuD8L
UHSFyCWtSEPWT6Rjwjx61U1gJbd1bhONad91GRgQCrUoa1/DU04FXfMYEw9gVtqmbGJ0Cs0O0TAF
RD0+5sgBdZrEOg/5seIr7qq8c7apGnaQkj8I5ziGESRkxQdYixsrEyyhKt17EExBkx4thY3SsZ9q
VX94VeevW8vKCL0NiTWjiZt2wGmpZpKAgoHbAZx+aYcN0W66zmBTQFMUvbkk0veQ0MYDCUYMiCWv
ZWi/Qqh8Cr97pulgSyBStnCs+qlOyl0xxE+xU69J6Vzaot8GimFmeughzTsOXoKxl6bM7qqSeBq/
2Y6GXDu9thTBqR8kEeGhugH5pIahWHrDVxrSQBvdthUpiLhj/Ta6xDCy0biyU2ep7tQUboqGvK/8
UkGHrzR89NCGIfdHhPa8u+u4ilYjm2o8bCdq8BzxHAz6XdTpnAfuNmIbjeYGIDRxkXWdsDSWdXej
9Oy2N66ZyQNEOOkUvWl6uFAVtbVFhzgg/hiGdmcP4iYqa4qQK3VQXkNAXGV/eflTyLs5FsEBAwtR
msXO91gkUB1E7U1kjMEidR9ssjtcq32PSCXUda9bSV8HbmB+6DTnOWkhFMfqqZoC0qC1fSeOBNIQ
QsqRZTGSKt8+VJl9b2QPvVwHxQgM3jVJRcazYxOYnWWPAUK4JWVF0cHD+dw53Mh406aDQ7bSqXRt
0kJl6OFxnIo9DHjNDFl77QuEY/FUtVOPl152JKe141feglx4MdL1OjH7H/1QUBGeePpWypjdYbJ9
hBwdAIsr1RpBrv5p52l465qZfdSrQAaI5Oxs54kyeSpwlK7pdfLugJf5JLU2fMuYhncpHmCAT7Tt
65asxQMJPKJbIs0J1xBvvLBptDdmcAp1ov6TL+l+YkSZPiDc9F0mx5ZgyNi4L+za3BhO0F7ckAgd
PY+zo6459T37HvMxg5la9HXe3FZZYj64fMdLzau4W+Jw2OtGUx6L3oLB1iC/nDrgjps0tfJHw6XQ
UhOQW4RugH+V1SkvaHPnroF4hlbfaySMnkTu+AdcVs3BQy1EJLTG6qVqj88dlOnUYh9f5mI8Fa4g
szwY9fgeW5jzpNc6iDm1occYmGkTUI1+sdRUvFIk4Z3BjqpHFh3eH7cJsg83trsXLTXlgHQzjC9W
38oH6cXhnWfq420zeOXZGADbeytWl7rwwuNoPfWoWaHw6q03terOh/R71Cxr7Bd5NIpXOqiHjapK
jjJQq9u6dzqSiif6yrgw30IZObus6Fwsa0p9xDV91l06tFdJUPgl7Yx4n0Uk9yNLn515UbgIqbLe
oJqFMmWuX9hmiR6hn1AU+MKgZjrOYKuCcpvNCzbatohk9gAhbpIOGEOgRJ5N6LWl4nh6i2UqzqXq
TMQkjnFEj4lWCWExhrnoWqg3FXbLOEJJ1bfpeIF05iYts7G/b3gyRyNaNWO2LQojX3XV9AmnC/A6
NB3pFn7/4Gv2o5tPF7tKXu1oZtqyfUiShTV1Kcc+4nJbHasoXsPN0tTlyCVihWBl0a8mUeTB4b4M
WrXvx5j2BMP6YadcZiJ+t0hSQDu0xDu8aUmaIdt34GKwpAK/dz377AaWvs39+lmJ4kHk1j7S3XNq
dSvLmJZhbPIdd9s+wXtVPxlG661LrXnBOhouxiBioszsh97qH33NuJQjGjMQx0UUJhTMaXsK7nAh
Bv2+NCqLolKR7rJ8dk9P4jK66EWElS6LOF97VQioPTQkBDCUN1G06IS16et2kzeaWJXrpntGREer
e3P0QprYsLwHaf5V5s3jvwc7zG/z1t/UmhjJJYwOkk2bpC38Vt4voAs8GROTtIednT6z5kfHSXXq
ogYYYKyM40G38+qsimC65XwK74bIlg8G8a2X2q/sYdHYef/iIkX9cL5flWR+a+g3985yfpPC+Z1K
5rcLFqE6Gt9v3PzuFVOQ3A9mDoBS8Gp28zvqzm8rMTXTIZ3fYP/7ZVaB2dADk2iHwOddH+e33p3f
f1LHg3WWTdUp8xpvS14sEih6m9x97CfjKjdqsu8BIjfwhAGSfE4ZGhGGfeBz8ugtRGVlDeaDI0fO
JaNhPg/CsL3X46K514smO5Izgsh6qtsLRe3mxptPOuFjCCP5Sefj4hyU84moUbT6U8ynZD220T4s
IdTLKlxDanGYdvO5qiEsWWffhy2VNsNuTNzwLS+ZM0p99O6sOPHWoSmSJxgcFgZwXwCUcLCP1TiE
t5ZXGJ++p6l1RjiRWcZc8t+XQNElxnaYb4ZmviP8+bYo5nuDHsHxS5/vknq+VcBziidjvmkIcuDS
4bdZ7APaCdZQKNmnO99OzXxPYTMM90oVN8V8h4XzbYZ4/jHyEeos3KmZfgASHpE8eLQaC6N5GupM
f3HHriX3hFrJ51E6gFpZJ8bXgVoN3hoTsroMAKASns11Z/cF8eYMcIK0ogXC6bPTpPmZ9I6IpAYR
nksAagRQ1aZkadvZWuihiK8d/93KJMUp2N8mlhtkphv8DA5alPb7K9InmS2dDLUe9zR1kTxMeRgu
m6JIr0Ue2+9uJcQxizkktvbgsq/COTMpYMzNhwVZp8mHqZe3vUkV/arUhaw2IXLrsmZbWHbQNQBe
GSFRMQq0hS5LtUZQdBeybe4GzXqtc6CcTu/ZJCbmyonHd8SZwGWj1p7mP8Rx9ZC2YbbWhrheofXI
UNnlBA+xsP9kiXnWXF2ezM7z1k1pPaJuZQLShLnWEcpwwiIQQe6V3rmDrd24kUrWXPQ05uhJ9ODo
bbiw2yY+hLb9EBnxA1LG8BhXXrLLHcbsLtMPgWnQrdOHCu5G9Qw9LSnuZK6/Rfh/dq4RfY2jliAV
nUKm4qSjv3S8qZk/FkPG/33gwUC+1b/IzigOOZbsTW4rCwd5IbbVmNYro/eyRTNZWzcsCMXMB22B
tUBuAFOBVfT6HQ7rlrlQLHRbwX0Yw2NZqCfSUfL7QStZx9w03Fpd17skRidEWjlluEoTknzoKYMq
0gxja8Z2uXFRiaKs65tNL3jXChdc00dPTrXo6CwC1bwNee/sRyOB8ZjyN2mkTBASa0Pq4AbPPBNX
ADQEj1XULKosU8vamMXxJfYCfChEydF9smxjiTQk8DJGi1Jnnb9KAlcp2mJiGkNW/tD1i6fCb/kN
j2ytJF/by8brH/hzch+YMuXaJbzusXHt/Ij+2t+L0tNnTiU6Fb7zwyCo6CER2sRTwIGiZeiJ+/Qr
Nu0HDIDEHxgRbhItQEZdYKwsbD671At/EC8lFyndIYukarIVUwH2lDH6GEfxMqSvyP9PhNXxRFB2
MObOdTIKQY9l/mU3091oFDajcEcoedoS+665jqDcIArOTS36lRlzOBo6i0efu1xW+FfRQAr9keTU
hu3V+FSFbq5lFT86pMzC/3trDcs1m3GJ6CIwwpvAMY+jM6BuNXm/VM0lQY1gtAKQPlPwJ+jPc4pq
F7UUGIRCC3fBEEwvsTsvmYE5biZFvvNCNeSCLeO2n978KMnw/pCd43SptoTQFRenjct3SlLNfaDZ
+jEcvHiftlZz8QunvfZkbl/RWKsPn/PnaIjK2al5ourn2Qp/WHc253lr+J685hlMaOR/ovHTKEad
pzNOXOvRnUe2eh7eOj7x74v3v2Ko/jn39Gd75f/5z0is7c/i/J79bP5fobFMB0rlX9NYq/cf9fvv
5ZvvAdWbu/f+Zxr9A6v1/bf8zmo55m9i5qgQCDnWHIsNR/VH37X4zTMsXN2QXRjKxZ+qN4X+m2kS
/OlKUxrSFpBhf+G19N90U9ion3Q4sW827C/m1T8IJDjBf5lo/IudnembwjE2QIotcVgRfvf3dFJM
tbUy/dRfD9giYgrvbSvcMHDQTGZt//Q5/RPu6teST352glRna/ocCgI398vXCjKNswIci9K0YtM7
/d2YVbsmcTY5dvrJq14zXS7b4dkzN5ozXYJs0peh+YK2aCEidVRpuYHz3v0v39UvnO/v35UpZt6X
b+/bqPtnztcvo8IjWMpfl+G4boGnU3ugs0Q4GwNF1ITo3dGypU2Zr0txCBrW1egDmfhsKrJdWqL8
nR7+l78RVL585n+beudnRLrCdAlM4pqntfUXsUzG5aJRmOSvm6kLt+hY9jjvrTsMcv5FhZgaSqml
lzLtu5qMiYkESpCTdpJAGklvzc7ZN63O5a3fGinEu+sfLSvaI4HcsDEh5cqHN0d9pmO+6lHB2EV+
skGfkgHPQg9SLgl1RWZLbrjZgART0gHDAPg5rSoWKpK9TnqlrZDLbkorX8UpKjI0/F0YHWztbhDF
3eRnK4F806oIJXTHGXVZDR21Uro4BDZakaq4aWyxQ0QKJfmCu26vhdVy6j+0/Ghzji6YfQ/luEiF
tUu8p77rn/suoQVuJByzVM7eap9oIKRJBv9IX2xN+tWyJkXBFdwC60ZOfE5duSScZ+nKkUoC/yBD
KtjoTvb8dGYv77M+P5ims1GNCZMagCll7aaK3XGjoSwGOV8JYBOKCeY8slMf2hvCDBQmA+529GXD
uiyoLa8KLD3Ptusd8MYunRz5eypx8mNbiPoN4kkCKYpd3QzLIG34ePgynrUqq+GuqCVeYkQgmrnr
WjtbTEO/cih7EoxgRvUROheRVzc53oEockHcQKZ171BavJm9u9ZjDIXRfUIJt1af8epsUHe+98TL
W9ZHpYq3pvnEuoZRusLz7F0asnC88RrVDPAUd2Wus0HDvQz8pjvrnizvwZjfAifTThh3rZVDwJvG
KH8nJsxZy4BHS7Q+aFtmFZ+BWfnRoiz50NBcxaBgefqzQSd8K6agePfMyGG4kPNLQ986ZpBw7wzW
vWN04tFORL/Hed29Dv2ckg2dzY7g4DDAqx08ZWWSU6Jn+gtMuhhAaXvCjeDjnbt3QeE3ht04q7ZG
QL3IByzgfBe2epf1mO5ymYFoq6oPTmFfRjcITi6ybuzbeuqdu1Zk1eb/X5L/YZ4Bj/8shP3Xl+SZ
q3FupP7lWvzjz/0h9pC/CXStxIHpjqDF1EZs84few+TuE/Ycq86zhy71T3oP+zesCdR0enPYLAMq
/s2/3IvyN4PLjLRxblvJX+n8N3oP4f2aC8QhbJou7y65wFxZv8a7T24Df4XEdj9GJg5x5z1wIo+X
sc7OoTX6N1EKXESl72NRJiga6E3aVtDa78qSzil2aahWwMmxJHEXrfUV+VRI25H7GBDqSAuwR/Bk
N4eTjjTgDInV3/YIvRaDMPHpl11634QkLcZeXUMWWxAkzVI09mlsOBFciViTYhei0/3bjqxMG+/q
WqfrHmeK/6hC391g50gXTiZv4DjsdycyUpAjFrhCMJq73nRKs4lbY2hB/0mYwWEJba25w2Zo+pJT
yN1MQDIg011mrqqM6UAZzooKHA1R93BbhdaO3+AP7snFUGY3eP/XYyPuCKU5FnUZLLG+LrtCfEkj
Ugct9GcyKXGnrQjr+4jP9lJEGVPApJVb9F6PCjTd1oabTvJhem1p3sQjP3JkJmcrp9VBw/4GYH4y
ZQdJphfZNlLtZynG6ew/NZw5i6aiXZDi64NlhCkC2Raz3bjCXrhO8TpXmVUtDTf/ai3C1zyblCUE
Gcq1afqJHyqw8LDMxKp2YHUprVno7N8rbYp32tjdakL2sCeNeuyiSe5NJ1uXcKarKCmwaUDXK6cK
AEOD8J50oLvQ7D98Oa97jZVulBpd0hgz6yJR2C+gnzB/+rj/RwivrdsS30I+i9wjDBkfzKy4M5PK
Qu9igvvFWTje66k/sbA0bbkleCm4KPuEEfaRcit6KGI7vw61pi1J0T8FunUJ4d1w1T4H6YiCskQd
2THJxUN9E9TNXqNyTp+C5yGgsgkr5SjHiF9Vc67r9ivJ7xFWl6ve8cyddMp0OVI8iqF7bal+qZMN
s6g8U1v6amIGEdV57PWbRKJWpaB34bou8VDjrDSBOX0SGOxo5yTXTNnz1473la4t6rTUH2k2i/6H
vfPYjtxYt/S73DlqBTwwuJNEWmYmmfSsmmDRFQLem8DT9wdKapnWOX0167X6DDQRRRVZCUT8Zu9v
B9zdNgiBldFuUeWwbvNGfVfjpS5s/dXCp3Wcdf8nGtCzmc4rS+TsKeqL2Xk0f8kaO99dM0v9+4DR
SxCfEG+s3vfufQdAaEgW4MpQzGVNWE032NTsCxYxoA0+Bv4CFth7ZdX9kTi+uAtaZTuXrDarKzNs
1TGxGo8bpZaQkoroqJFPfGBc1x8Ioc6eE5N4JDzIbXyShhQHmUTNXrEWeGhd5Og8qi1qCqG+I98l
x6Aey4t0zOHgukX2I1Whi0MLVFcm0jRAr+scpVP6xwpjHXfbOG47XV9WDfN0ZgqeP8xdPD0QT9Zf
JaLKH3MKoG094BNYNZXfvHbh4K5rXQ5Ec/n2mRyr6kR1MN6yJDevbX3urzryur7rSdZv3Ag/M4Fs
zO0yJz000rdv5qaUn6Y1cXO2pHJ/QE/K6YgRI58RMcfnpPLHkx1m3TELPZ0h/TCIi+dN4m40h/qa
VDf9lKelfCQO1Eeagv2ER8U9mdooTtQKXYt4FKwTgU7uTs+M7Jr+IGJ9CpsnyaQo/i/FvCm4Gv5Q
O3uWB7ybHTS3gIf0jz7jz/1MmiLeMdsZ61MUZdeV1ZTDIWmH9rpeXIF9SKJGpY/jShk4n/Uxndcj
FlbU1Nhn2Og+OkOrbTNTIWp1k2Xu0uolgUmx2DKRbBFPxBE26R6APNx3++IUIjl2Ir92QweWYe3P
l8rRixXpxdlZRXgreJIebexieNh8ew/0Pg9ANNkrqeyHpmF03/djfuP0EVjXUfXhQzWOhkZKvWLE
0LpzXaxlwf94ZYwkOQcOHlOgX7ABgxbF4bQTOeGWmwGP13cMz3W8pgIqN/asF4+kh3nfCQG4arOO
/E6DVChXIzqtKwKFlqwqFBCazi3WscjgReXFSTMjVAm5jpi3N++qqTvJqrkPSeUFWye61TDZQE3i
CYZLGBPKi4jEJOcrcMdEBbpEfjVbwzFsypMb8/rHsUJugEV9LGKo4n1DLW7n5aoenehdDvaItXq0
thoeRFI1HPu6RNfMGaNnW1emyV01O9G66qP8up9Hd8Hh8CjNLk/VLBxxAqLDMqpP2hNIff/c20I+
ShEZpyh26uuU1veu1B1xkSnw2gD8cnfks55OmBLj8yhwQeEs4nn3gOh+uBHCzhVtvfwEulgEUxNO
22Z5U9TyznjL22Ms71G/vFFZ6+HUDSfzOsWuelvVcX2yRMH9LNsBFxJXJWD7FmBljsqNoh+L7PIG
+8u7LJa3OnTT4gFk13SG8RQdULOM23o5B+Cw+Uc1M1+vrJLxal0sz0Ht3SMNyn4g+hoO83KuzMsJ
Yy1njb2cOt1y/szLSRQvZ5KvVeKQMjo9FZHDkTXB9HtGztgfkjT3D1U3RsesQ880dI73mmSGOlah
VrFRSd2LzIlzX2j3/ZECxHl3XLKrJ1hvaEdi58J/rd30deQEOnvmTRzDzkXxqBZRUNiQHNvOPhVK
ysSh3Xp+isfSsN1kxCABbH6NPMnJAz0yGwVHVubDdeEmXiDs2gbJ5vrtvDZ8FqiIHnygJsXcRtUz
5MaGvsxOqw4eqJl2+zJqhuhk0DYQrdvinlv1nTf0iC8KIlCbOkahKCIN2Z0npYrWvppqdjKzPXNf
YzIQECgIJeM1SMqdV3fmjakNxtmLJvt20tDVZr7Zbhowd3ft3NgpGKQwFztyk7NsozU6hoUwKX3E
VVX4trAw6Q19rDarxp2ltunzjApowDSaBS7H5suckTkW0JzrnC0qSXweMb3WyUPpjLsUFT0CiPrW
DRWkqSRBSdOqCu5HsW9JqcGF0T12w8lBXraJQnF2Pb86W4Rv0phpIW5FE8dvg7IPfS3ujhCbEdnW
0zovq3GFOnpcEYn9A6jeuFXJ+K4XZh14jQmCSBmXUNTjNUHVRoCL+i1235Dg+VfKIEnYcZXBmIBr
wCxra5W4YufKkq2PfpewuV9PmYfaD2q5zF0niHK8VX1tucfOmZw9Hh7yCmLzinTxO4z+3Hmxbp40
7v+NmKv3rC215TNCE6EqYoDleOE6f5z1Kv5pY6M/tD0LojEr5yOOP+YT4FmedE+odaLX6idzUJ5B
AvoqE/1lJxJwsbEb/WcY+j/l1i39GqC4f93nnV+LuOqbv2nz+LZf2zzrG0J1Nm+eRTSaBVTgf7d5
TD9p/3zS1Cy8A3/C1dnfiFzCGsCaizUoi9Df2zzzGwlvC8aH+ejCxP5Hsn4CxP5UMLiecGz+GEwH
PjIUHVbvnwsGu25xxIN72SdNnO8V8pIgiv0rRMq4crqICB3QCw8pKJ2dBZA2iOQ8PeZtB1NKj5+b
yK/PWu0hNQ/z6egi27trB4sk2JzBy6xTx48WHDUWE1ubqwAZWBM+WYaXnwHpH9oG85iFW/yYpe2d
hsGAidAk32zE6wg5EjydQ3ZJvIQYmCwBbclKWyH4qXtuTdpReI9sLh58RYsxhV3IFElVZ86sSa5Z
CImAgB9WmvBrd3GVunut8C17z0Z6uqevky9xVX1CpSrcddSZMLOmOPkRG2iZSEjZAy+4TgoHnonM
0uOIZW7dmhZJuRbrW5aEa6tftu82nrAWR+RdEmU1o0B7r3rmOWO+MLpi1DRzg35jqGO0LzJ+QSDu
sKisaCa0Yokrbsd6NdomUptm0Yn5SFpEH20bIHPcewbydnrU6k6MycdotxbmyxB+tFTIsHQx0gy2
4keuT5C/WKwMO4XQlFPNiu6HcQo6c9Tuh97NbofM0XbZaIfFurJCcQsEwEOdEo0yo5rRyYTUGSPR
ZI/cYRylKVisrwo1XorV0IDS3NVWDj2MudqanGoGmFkFce3QcLIfqynrkm04Gykh3oSphuzzw27Y
Sk/zj0OJZqIzmrA5tNgR5I6N2HCFLLpG3evPtbMebGjRK2YhQxgkLbyVlZVbqKZqc3oqMPcO+M5a
FyuEW2P5HEgnxpyrKf/SuTR7qxwDFpG+vmtzXKLaA2lIpO9L1zrNee46C4gI0qTFwB3SIZJypK87
dpZowjOapwpKCnr+4ca2zFa/VSmcp8BPWsKBheVm7ma0dApev6FwvktYd0M3UjBirnjCTPx/lNrz
mhLFILp3xDRfxfnRbfoowgJRNdWOu5F9YAJr5qr7kqSNerNoAUf/FkzwwUsFodYkX4DTwzUhunw9
4P6mFnOpyc1rT1gvWetepmQJ842FQeXb7GVHk2w34pyRc76YJu+Gpe2urHvMphulW+o6XtrYnCzi
sa9PSURWeVri8iT2iglHsSTjVNEcdE3JR2aM0OhzlR8ikZqXWJnaJ4/zuiRb0afnMToQt8Xk3QoB
aqocpxW7CrH1c6Na86v+NOfbvBuQ4vM9BH+95JqR3LZCHODgxeuxadIM9bHFCCdxaF61DyvOUsI/
tZCpR3vxHIUiSbHwHbEXD7YX7b/mBL0pH3JzkNB53ISL0IRIshhQHCdXrFWBdel52QYKHB04slJ7
tSxE8bW7AyUigWiV42ogVxr7pmDUXpprF1hOzVQJ10aoF+VZxInzw1fRPSHP8TpGE7Ibw6zilUm2
qZUhwTfdLsBP6b7P1kw5pKuN7k3tyTASMCjoWWSRhYfBdu85+s5RgjbErJUBQoT8KVzSKsmyraUM
Z1f7zS6vvH7H/uMjgwXB7kJ9Rml4Y8oRmtkMfN9qkY/Pg/45dl761s/Rzz/cTn+zgjK+Un1/360s
/SE7FfII2ZuRJIGf7M/HfVFNsO5i3d9rERFTMgeZ7c8ZLJpoquwbyR47DrS5h61gw084i3KKX2B4
M2PAVMKaBJiH5Jwkq8Nhc8JIPDGqfrHupo3iuYw9yhg9JSh+8Zo/lU2hv4OP5H3WmxFOOEMVt14x
ekM9jgaV5MKpaoarVJdseiTWAMyVus1hAZviSJU4EAPwdZog+eVkqb9OGfTt2XHKJ4kMtFOuQaHM
8kA2TUHfJuBIgQZM7rpEYwQFEcQ9NDWK0WZpuowQUYLRRVsUu/0pg9wxQizb9nG8QG2GE3jI8Wjj
CsMJIY9mmCSbxGBRkBq+XAOi8AOjACME++tuXtrEhOPs5BShvatro1j7yA5pCmIQKlO4o+M2roAO
dJ86ghcAMzSmtQmveZO2Nfk0bQr8GWhC6feI92J8Agy64rUjkoanm4Up/U2lJ+l9rFp9PCrsu0GW
jPTONlmQkw+HmE1Uvvb9CIXt0nuzcGCSQTsel01yVJFuXYAYQUnxwqj4zqEAwKd2561djsDBS7J5
+EDr5AYslvcRdXZPFk9y22SlceWIGHQsSkX9zCwwReS/lJbdL2VmR+TzKUeDdZS0CjeQsrSdO0gL
tdKg7XTUCxcgauGqdKPoPaxj3lZQRP0PZXN6oRA3bthpoDhhRgueVn+zslDfi6nNmc/aNY69vLlk
zBrgnBi7LCdKi07hituuwVatDXSjxKc5U0MMEFCcgHVtTEOC0Uadqs5+kdE8bfibe4a0R8BfGuP/
Bm22gRQ3rIxKf8j9riSCedo3gDm554gOnMyPSOjj1qm1d7K6C4mwW99VsrsySaPBBX3KDP3Y5uFz
GJlr6FIHvMFvsQ7hsfSvxTAw1ex7ezvN/UcuJ/0aAPlnaUU+SfSVtdZd0Wy9SfP2pBW+Ai5rr+Sy
iWqdVH4oDNNXg+O1tzl6u0Pb2jPWNrzheZ56u2Fo3ykWWT3a5sdgMeUF/OsEBEJ461yP46MFeGyG
K7XLldCvi9o/o0ZVgZn2yOQLTa1NVy+3hLCGQd23xWqwG+ySVQ8fAXOGz4edEm2/6TxGn4Dky6rt
znOlNyQyKLVzrYrp5GTco/2dzpmux1C1DWYlunIoPnTnGkG7fpvaRQsqPdpgzo8PYFCyIGLGkJEO
j53Z8W1jRC+TWZ8tULCN0evVT6QkZC2mTrm1+rlkgwl/y8yNRX5mR+vETJNdPU4LIGaRrE1f6jVn
Usaz+6VpGxZ5W2zHHepsSyCZjZPkJ9QW1HB5iFA26aNu4XhPbbXTGnwZGwx2+TFc7uhmua3Tr4u7
+rrEna8L3XRxLuy9r4t++Lr0568CYOEU4vf7KgysryLBWeoFhkPdf7qtf9Jt0Z38m27rMwIR/qpe
/6bf4ht/7beMby6nCCswndYJRA5f+WWt5vnf0BSQccPI2v31K0WJ7e+//wsGODIQwN0+QBUAJ/4f
5Cb2N0EYIull9Gk0SuRj/EVe8u/kJsbSP/5hQLv0W2KRWggaPov/mfWXC7gPZQel2nX2jd9Y0d6o
U2gSZFdNzUr3Y/kxpVl2xfRgqg7oI/p7S1detHFGPZm3gErNxzphJ1d0jkP55qTA2PJY42a1x26q
d7kmzcelUj6H4yiAb2lQMEy7cMzAJTANU6JlJf4e5aVHIp7y6uoktBJ6D7F8gW1HvCReCJCgtV2u
fHKGluJH1x7AftdHr3f7FwLMslWReP5GF1ka1IV3J7hHkCuKa6W4+KHk1mQmtkPzXkOWBOhitkA6
+GWjk0hav2MSrM8nW1Lmr0eLCTB8enJV5izfu32DrcmIjX1oe9M6smcTk5iigbQQ13KUTUCtM+Xc
jtL0H7zS93ajno64NzI/SFQ+rEz0/huTID0Wdz7to3RoIRGpPA2lN/Zo/KfKxetX3ulMCNEVVLHK
NyVCI0FJF8Y4VIpxuK05B0GfFZzfpzrucMqE3oDfbhozqk+/wIK8bukJoG9pZuFhbUEMt410BfQh
GyCq3s469N+bJkJeeKtbghEPqVlhs08TrQnZtXn6fOhFB2clHEYfUFQS6sOm72EebSl4s5chM2r7
1ssbfJT6zHIJ9BxhBSyrjFStzLkd+m3otMPO7YT8EGUVuUFe5f6uaHr9ySYktSGTIoqWoLufPrao
Xhvri1F4xqlsVMXgWmh7DcXLC4CuCTloeCFnhaKuHjvu+Sln8dSM61zV8S1zbub/IstXJYF1eCVt
OGmtVbQfZj64+xKhYLyLMQXp66wU9RqorffAxBO4q8LlodZ53Hn3ma6p00guEg1ijA+47bL7LmXT
gAoCmBaS4B0BL+WVcOmtyemMNiL2rhiaLxwmfX4IYQxuh7q0r0DImCuZaDsgihhKvT5Iy7a9V1YC
OEh32huNRm87pmOUw/FguQN1WGFUKqWboynl3+9KbcxObNEpIxI2zirP8lNTU+gskLP4gae1PyKm
hIsojJJ5qiL64aCidKxWZdivWfei1Kyi/hANY3rjU/d87/hs6eHKEN8cqEJcTWqcJiI4tREeTrOA
0XIMqXGc39aq3GELyza1j0MZlEz8YRvauGk8t7rP+6hlyNgn/L0nauckUf3d9Tu4wRTm56pTn2Xf
wxaolJGjTg27faolydYhgiN9AZDj3I8l+lr2Ean7o1Id2lCRO9ZhQeKxjZ36dWxU5sbRjH5jD3W/
FXVT72CajzhNbUA6OkCFbMK8YWFT3We+diVAvXDC5NOZKIX+JRQtPss2yi6Rb9ZXbZUU9MLSx2NW
owUfh7ALvg76/ygyH1T1+d//9fqBQXt54pv4vfs/b7clPuxfX4vr1/y1+FJkwnb8+2/+VYi5yC0N
IDFkSzFB/MPV6IpvXIl/0GgyBfztahTf+AovAspAIg49n5/lN8UJGk0AHMRtIGyEhA1M/B9cjT4z
zT/ejJbteSYsAjDZTD09hpF/bk2rRiNit9AtDM3xz951rt3G3lWO/5CEHFcYPDaZQjQyoNjHsXHL
cuw7655d7/+QI5o5XYuOoZyf0t7ZkTG91TVtk5wIVb7qRrAWLhyCcDjLUTzVeMjTpQec7V0yN3tR
BaVEOZZVeGACp/e2zsj31sUpS5o9pL9D6pi3TmNfY9fZjbV1a4U6CaUrw4ne8FFsVeWTUlzfe1p1
P2PWDrluLUmHAfw8697m7F5FgPxzkM+Ts3Wt8exWHqzE/KRX1nVhTU+VSYplV1x4vTYVRXeWMzBC
1ccO4mFWzCG80HpoHVwsY3KThxZ4KblI+u1mP4cIEJg93naRuzcxzOLvH350jf8AL/glsfgrQxex
M0PngFNiwxjzHeQX25b8ZHEC/eHJ+5sBw18xMb98iAvsDBQgU+W/jpMVCXOthL2xIZ1hHXGfLCmz
0Vjf2ErduA0xulKmQTq7G63HncYn8+9/gL/mzn0JeoXrMNZelFWMyP/8FLEppiww4nBDwQ7aKT55
fbOdBDu4QdlQ66RxY4Wps+vD+QKA4WkoYvOEBFk75A4qGnf1qUDAbmcEr8GQmvHW1cN8E5bzacqa
PUBqljgeU0/R4VuYEYhCRM3XO3CMELKwKrBNzTYjoferCY9BWYY2ZlfzWE9oX4Disx5qjXcFo3Q1
TvNtL+Ld3KIQ4N17NmvjGLrT2Uv6YwG++Kqsq+j4zw/S/5lu/V/+V8uh/f8af4kjA4Oe+LfLGkCC
r10Xt6jW5Z+Oyd+/+Zdz0gOqtMjLlwOJPaL4XZnniW/QmZatDTMPtiXLV347J61vuuBwXZTkYoFi
8rP8ek7qLisghBmeY8GYZuhm/pNzkon/Xw5KB4KrZdCReIbP6ftXfTTbjCHln4mTpJTGFjRTQ3hL
YpiB8gmvWZkVoNcNsYhUpkMUIm5z3cW1b01M8RccH4G46AtPBbUz7m1yKVZ9SEIKyKXsPo1H7cFe
RKvRVA4XJy/kscldwUbCdvMdEGp/45ocyG3Ryo/B9GaUQpxQkjBTUwKSBPZPZCmUt5Do42OkFxaz
OQaVATE76taZypxsmfk+6k0VzNqeGLneWxkDs9I+bpqj9CjbJ64HY8uAkJVpOEUklbiZglddGGPN
bEsxxOizWdyHdpy9mNMU3ZcGIERHsLupPRWdVUZwLF7qYX5jPGPjh7Vc8DN98zoaI/FpenqwEwPs
cWNiTi0TnfwbcoWKy9S2SMvnNNkUGn87hTEdIwg8Gz2XBmq8hmJcZBE7K6LSiF7S3xa2PTEZZY9T
t/Pi9ATSJ30bHbIFUB5n/kdUatGjQZW5eLSA58GN1wzmrcZQrDsK6Y1vptZKmEwgkyQyrhI+AOgn
0PTpDoYjUUtPKkbTtXaNiViOuS0mpoCFKIN5qgsAqnNqrk3a23PvjMlrXFj5pzBC4e8grFQa/O2B
NDjhK2gjPucTDgTkw3gziQJlXhlNgVNERJJoJnFEBi58DEqjj3u/qL7LNmy7ICctFMvSFJc1SwkD
sIJWyhcqZtA1JJvLvdny5+jKLAbS5EbPD9KooweElIgjuQwbH5YMgah79kn9R9UUo9yaRjkBGND8
ndu76HCMyFF4DHviNFzTI2gF4mT72FmmcQF3aJ1Cp28fZCHL14ho7gQDFXOuI1eeiT/Bm6r3Gsf7
99aXpb7GmY0wx0+a6ofeM0lezbpjp7skKZp7nSnAxbJ0QvzmavRPCZ3DJZc1WFWvkFCn/Mlrbuna
pqfWYs62QvOgfZK9adtrFGDNi+Wm+ZtDdtyODC6+Xhr++NAWhYmfsMsRfzQd1qc9ulCpUavI4ogb
auWMmTHuNFp0jKzj+OQ7Y3Vnd+V8MJEi8N6m9R6RiQajsnIQMAikvmtAAVMdhMJI3yJeruVbQ+4x
q8myei/iNmk2FlNDtg+IUjLybhGIWNkkniMWUy9Lk6Q2At/CIhziA/RgVOIVUJ7NvKEWEYNiNpMr
t2bbMreS8JDQ+QwzY/4+RtNGBzeBOMh8Lwcf+4NIk+bNdieyeSA5Td8nlrPrupdo6LV2fACQWJ2k
Z4b7lGX3VZFnYwEIruPLbkybQ7rH89y6lgRXDWba8MYFD9/BMxEzxj4kusSMkNqwJdIFwOPkhXsi
FzHzqpmpXVZRKcAnAUeK3asmrHY23PDJNxiIFx1qOOIefSfQdO5Wgpiaqg5o/eq1nAsrWVlzLPQg
H6e83BhhauVMBer4M+kr+Ti7Uh5FqqfRBgUMlCiNTdiLxouibykTSYhN67r/npuJbHhFOnaGaTzz
as+5XV8IesvVFgwRQ+R8rsC/45Vcda7NwUIr31/XdarAQBZleejytn1pBbBphGYfaT4kjF8bzukh
yxij+6kE3d9rjEBxAj2KzkgILzVm1m9yGp6tMGpOZijldx1dHgMYO583vaFB5Pcn1CUBZZZgP1LP
7jvBFdk+oswTdWwRslUM5RVXCQqeCED6h6VFqGEYiKKvK7pxPMc9g9LAtyNlM9Qg/iXQ2t6TATNh
4m74PR13z0ZbesCMIt1cp8JvP5XVYowYJ3cFj5xbxhryfZM39VXoxAVzJ8KMWKySn7nOxyztdgbp
dXJf5kwzrNjpAFTMBXpCGHdRDIzVsZEL9CbGEZa37Nh5NOuf06g8xGIYJPUWyDke54nDyc+K+0Lj
dSMwM4YtM9b199hthYXgx/Nuu6oxnpg6gJuHX2CchCyNR78Z6hfiqL0rL8kiZgduR5KQV0XmTUUy
7I2DvOqxVkjSODYcHh8XiotJXa/jbmzj4azcDuyWNVnRE6MwARQOu+VPUQvdO/ITSnPtDCAZsJ0q
73tHCBDejsxoz7y3dr4PLQNnSzPazgNnU3Macj+5HsPS2OKCctdTaGAsmrQG62ymxZoMsjnTt1pd
xqjAQ/dZJWJcZeWU36SJLwImQ6CqxjK+UH8XgZx1nVLWKdk8yfqpZ4P7WPlmtdZBb1XCNR86XPaX
NEPJ1KeJua/tXDyQM6B9GglJ5SsjMvo1gQ3mIREJrnJJpOZDLiL34pbxQ1kK7RKWKlynGFbrFXiN
9KIlKAoji7zVYMQxhYvKh8OwiUVRKLy6Opp+5SaLTSxDLcuTkJnVKwCyEAVuHyGKdFMEnHM5AhXz
3QMEW/IesnF+zyRuVG2uk4bYoVLelE7WnvIKOhOsifgHOKrvOVvr3dT70y6Mkdy5Th6/hr2yWFaP
6Z0HqWqn1UCOAIEU2xoaF2sKz9A2xcjSSPUS1pxBDlNzdu08/5HJAUG6pxsTrqIsRXoJH3vJaKo4
XFpUPQecXd1DPWM1KrRGovAQzaZrFeM2N8KDkLLOBshmmTuLAyjAMz082FwttzDmUAe0I3BI4Eee
sylZYL3OJG6cvZbV4oYTQR6GMpTXkRiMe2H11UUH7gQyOULZKaKB9CBbqjrIrIUl0JrGLvEm7xos
edQdC0xN5DYImZ2dhHRZwnZCQG1pete5SMebOjNdbmVKCdrbChKhXi8iMl01WoWopy+ySzxZRbqy
UWxzf+eo2Jq2i+H0EZjwbMyEsuKHri5pBSR6ZaFwIK6x1c1XZ6BoBjAVySfHamXDEtUrNaQwDQDO
KEEMgZqB/SfjNniTca/Ggx+6bbnvVOI8DxpvJDCL4c6N6nrXpbl+MxrSIMfKbtHw9BrHA/nM0c7J
s+47AQrlbYNZwMdU18dXJGTUR0emvKsz68mTq0zM8IwtyS1EjHtLAYuipvYH+SL1Dql4Ng7dxBZQ
mg8imepnKAPVxW8hCKPMn6+93gE+xbVlTWu7JtRu1TQxyWcqdz9Ky2LQ1klDXWtDWFz5VSF2zexj
B2jGTtu4reu8z7PX6WuvsdRrB3OANXheaBtLVcNbYgB23qKj7JlGSjRW6HhvhxSI2y+/JUrBIkCL
P5BY4D6YmFFX4zzaz7ycJskpcVFdvDFfqPX5o51md8CfgExnUXvyc4mRzgzZkeKdQdWc26CooaJ3
6wJju7sKQ8d/ZonHDRJWY0TXahGGu6JlN58SJ6xPPgnbd35ZOnewE6ozzUt2aiOVvWheaCeBQ1Do
Oww+uZtTjTzpyXHta/wiA0y7rJt+eLES6qqczEHhUdSH9EoWho6PLYrUHnqU/R5mEV7+QuDDKXBv
Z6uoIgRsZTSez5Iymvc6N9enprfOZxSFTb8ZkhRtaj8zt1g7OZ81EjAzNnZG6ceP5A4ZWxIzk5dZ
0+Y74ecQIIgT8Lnb5PCkA8q+Q6uZXZPkMV/m2Ow+za/LtwkTIppZMFJDROGdkqp9m0qvPbtkwTw0
hEnpdRQ5aCEG51US3ENUleVJ/EQhaemB4UC/G2bDvCFEbFyLMQKcIWOFDKnNFraPKKw0hXiZLLzm
uuXQqEvEWOws7RcR6TU2p7pjcS3iBhSkENW7pdUA8soG0gCR1rdxPtbPgFWAB9SofjNUcE/AKNHB
Tuw7Dv7Qt91WH2HBBzlJD2CVrFk7pEUt9oaLLzhtTCJHbLVAiWiSM2z9XX+KpZlXu9TxOnasOsxa
WgICLZrR2FeTqNMVgYnscGxJHaqGgd+pL6pqbVZAW4IktGfC313oEAjg2qs8T7AyDhiVsrUR6uWF
WLF53+MToLoBjbezRZvsPbtAkYOuyrgDxGDtR90p3rxyzn8sXXbHn2Dm2bq3TO1e9E1/gTDXPKcT
nplUN3NKVS78wDbDOahwCPCVQVBiaEZ5bIWqTqUfZXKF0LcMgzIrk9e8zBq5R5oU3QDQ5FdI04qU
vpSAltvez382HeNLXhcYdU2WXLSGQN4V5I8yaGbbPkZs6Qn0UZqACkGY0mQk88byZsPCgtk7KZCO
gYIE4BsA3RjL8tqZLUvhanKqfduB4x/sItZoTSWz8syIc3vfdC0fDWW8yH0y9+yR6SM30mvMls8J
ijhsw9WE7LRdFcRRWosTJESSYBMJPo9dsuzNHDQKDTQPerbU2UyaJY+tYRJLCCvqI/d0BwjDlHdL
GZlXG7eXjRcg048PfkpdNkVpeY4ayHQQN0IfeI4rHnN76SnYO2brBB8pMnVPb26sHi1y7nTh3hBD
sR8I5zoUvZI1+aT5hEjTMcSOlIbyoBHoy0TRizEpO3N2RkVZGwcT8Gz07PYTfJnBHVl9/fNR1f+X
FIZf51Fshv/10P+xg3D5msq/mkx//95fZ1n6N4GcFuGXweZ7GVn9tg533W+2ayIE+2tWtql/sxj4
Y/u0TDgFzrKi/m3i733jCyTl/LJAXyTL/2Di77h/nWTpJg4m3XaZTjAgY+L252GtDNFHsuU2dgjn
ciI0QQ8At7VL/D+ha7+2KjRudUUxXVepCMgSYfYhUuVQOFsciqPtjicI2XGQDlTIQHfrQFaP/Vyg
bCGg2nVTey0dBvguJfCbjPvuIJLYXAS4kRYH/lzwYg2eDatO5V4aeG4s7uixAeh09XxjME5HQUa2
T0IGZrliNSBXkOYmvKYjYuKq+YwYsgQd1SzW+jzG2Orr3rXo+vgUMdLdKCOhnHX7epsbpsRhlceb
tku8Y2LqfuDLuQlq+K074Gb+RwJYhhA1mncIFKG1K1Uv7l26nJu0cuodn4y7zs0pdVdWN85XcFuM
Nb1YuzVmt4CXjdopXhE+8Zp5Oj/oGGXJLvcQ7a6iQaVjIK2BDCe7927HLCFLsq5IWvOs6k3kWX1t
peJkzc6PzhfnuYyRRVnZnt3DaRiIC7PVrdTIwrat/oLP/0yl0awny+22ZsMI24lIcAZ52m1LzcmQ
/mh5xVZ+Gru1TEPnoWNiik0lG0Lxv9g7k+W2tXRLv0pGjQsOYKPbGNSg2IukJKpvJgi5Efq+2QCe
vj7QPpm285xT917fqPCgNMvwSYkEwY2/WetbKyztN6KID+QES7hvmbXy6SCYv8x8vDAb2Wu0Xg07
N+9E8UZNN8Idq/1XLx5sQshkeZoag0N8EppznyLo3Nfx2MCQ0fRL8BApiKDWBHEp2wR3yDzqc7LB
3fUNoJk06PqHnq0ByUiobYmpnEBimZpx1F2pXRQC9Vdjtj4DOFuw13dEs+hy5T4p9M6HnOhEsrxC
bCxgoEeCxbLoc+Soeq1zV+4YPuEDLeww3+qFnb/2tnCuXaBYixRqz8e6LF5aObovnje5W0rj5Daj
djvRSjiPRFSk5KOF+hGzm3vEaBXgbHTCFeknR1QLwbHXh3xTV6a283SVbP3AEjc8oGkBBpzESLkT
7mg7ATxq+N0Vw6zkMh0sJqVpAqIakLlxHPE7ktVoxO5j61JxLxsPk0lRReMdUYXDRaYa40QR11kk
m5b9m2lLtWdZYuH9aWL801P7qjJfHX169x00FfO+0aUWsvMoFPahuH5NKS3rZRJPTbXsB82urjw9
gUzhq0yrV/DUmwWKbY1YZkU+sK8k/OM2GbD0afwZIu/VqUfd+2gVRNyhq+ejqJLBDddNIHi2571Z
kF2HnsRseiyxsWDRAyXwmuMCp1MSiegqDmlcJFmhJ9VO7bHHaXHiSc9oTsCTuyOlw9hbSdvMPgKj
+KR7IrjW2xHqvDBiAemvAns8oNdbmIarHTI/IbRdGaow+KN5fC0mM7/0+yk5NbWCgesP+bpNDYDO
0hp2rquIfWs1Vd7IUvnXEv3cMcyYp/QlNPRFQ8TDBioHFaHnpNFRxD5czWJ0jkbYDAcdvdJWN0V7
zPVSXYZMWV/tks6Yem1Gz4rxocTrSBwnxf+9UWdkoIip2PoKgQxiivrORuO7iiymy1FqRFuc73y3
RpUlV36QqhsScocbNmEKGz3iqGXpuS6dvbM23HanVXq9c4s+xNbs6zvMDOT7ulp1MhwvO0WgHh8r
zVEw1fXiizJpxBcAMlDrTFK7Q5UnrvtG2I+GX2noYEuFN1RRfYOBi1HVwp2tctN8J/JFIvtU5aNd
6MZKI1PqMQoJYEqQLLYLIiantYm6cBNjs4L/koQbvQkVEumggQtY0yBr2DrvLDfzN2EoWzLEpRov
iiQ3j0EWTdsxc+yt9FrJLrmeVoERQ1uvO++ZDt7dVI3obpFjz7huxDh4Ad3nSBnZNgvqcIPlrLoS
DmAQ1Kkz8BtlDy6d7BVHv/fqySw7dU4fbdml0ItNLA4SnIHrrK9NBg2aKy6o1Kq1AbvMWtppEu4T
as49I5gKCoysL6zJyE4lkJJlnESfwPNKJvDNvgxRYbg81QgieC3NqRrwFLq3QYVtIRvGC7Kygvsq
TvsveaMDe6/NYdvWMxff7URlrJ1xolPUSYoPUVjhpdZG0wmQ95vlsXS1djlZ5A3WHfaQVKL4Ya4M
cD6eVaYAtCzzuYYOazOSvzSKfpcFKP/dKLhkLFXvOKrXxkgzn8UgizBxMgGp2ZUbQ5qX67puYZUa
um2m+8RsG3TlEqxCGHc5CNywI86ijdMLFC3zezGCfF0P2E4RbL+yTuNk7goXN54yB0b1OnCauplG
+gQxrUWl7E3uZf2tqYGHWGN283aDUWKkBVpBNT94CxXfuhMDijTrmhODmPJj2ZkJW1fSpFkGZfuh
5PJg9rUZapFIMg2ldYn6zESB7jMla/LxYCixbc1p2jn9MLHMFekz3elnqnZ+rf8WDm6zUxkSAplr
O8ifjEiCZWUXhH0aVkFohmbews3v9lZc6HdAymBG1xqo2dAlg2wBB5iQIzvUrRWbBWOTEa6KRV/X
3ge/dvaGYMnD96M64snpdib59DxmuuJz1hK4IkWJcUSUE3tNGyFEmJ/8hBAEsBXTOugz/44PIOOa
4qoiGw77vhSkgFtNFV4ZAYZT/kOTufuAnFmfihPwYP2IVD97Vr1O+ibMWX2paz3EdiWgYAinZWTn
QfJ6zzTTJDNW8xhfJBbWTrOGaBNIFa1hSTjWltCr8CK3CLTClkG2VThYgJ3RGOkMkXMHEraXF7fU
F1F+mQaaFq60LEXyxzGwDC/0BmXbSlRVrK69Yaj3iNZSsE1m9CXjxIF/azlqmQ4Vo2fTiR5M+tB1
TLm7lIlh3DduD15CwAjif7vmLvPDaGPGgkC6IkIFSLjfspIi2ulZJNady8qFadz1HNmeY7fkDzYX
dTEUq27ok4XUB5piSgsa+CRY1o0aPqtoGN5VKT7T/9Wvbtq/OWWvMzGzguLa0wJnB1WdlAo3ipZ5
Yaqja9ZAIkqSQCZL1IQjMyZ0G5DdKuXx1OiduTcreS8mhVdcEGUrOk2ufPDLq7AhrjEtmwBcn51v
wqaLDnGeq+vW8LWtT8Alarms3SrbcPDr4LV2GA5/ZpUDLqxGCJOHk8nH0GX3kV2QVGXK4KQjRScP
oG83GjEFsMxT5y5w511CzqNzGYspXtlWm0I86b1gP2puv2lchgw1SI+PBkvmNaIW/5RFzGd0VbjL
miMKv3FsX3VFlCy11CcGvSKWzk9NDL9K5uSrMJi311OKV9dOGPctRaTcdejr4SZuXT+gulLoLbzC
Oriy7tdGPVi7bHCMO7/1wnVd6vZlh39gZ49WQvyAMoiCDgqYG41JeGivLqLUL06uShl8dA6bzDkI
I3q2o7rdVSrBLUdUzmoQTAasKHcXUCmtRx50dNxOLekOIkesLbKu95GRyZ3rw7LvSBh7l3kiL53G
Th/6JM+2bBn1NQ4S8oISuJFeNVobZI36Rd6XpOAmvsejZsyR1M9LWKbfw7HR2xumIRvqVOAgLkFh
Mq2fNL9YoW4Kr/pRe8H0Hy7MoIBhkqMRcWQNKbWgaSkdt1mWQh/2Jbyude1DU1kMFhl+3bxtoYnX
CgJROyZqWZuqWz1ho6Bbkw2csfV5B6xjakYM++86yz8R9Yh/E9X83Kf9JKrRpJxipUfhjj0fO7I5
DEAjm4wlsYw2wo6LVQxT9KHyxHAvDcN7HmVfXotwCg5yFNWLTxYTu0oKfDIXRLANu7G8H0xv2ug2
6d2Jm7Anqj3tlPe1CPnSRnDFLT4BqF0WpQTxk9Gz5XiaRlGTw1YXbb5lKWCtmV8TKB5pnwKnCFam
Rnq1FpPIikPisasaAydCaa99mArPouvwZRtA66CvYn+Z15p5YttXVpogeLTN2l5lWFlBg7juK5V6
sLVnJjkD+7eit09dixqbCmUBrjPBdCPGlT2F403f5SSXJ9MRyxPBmQmoVPa3ZJHTlYaA09Khnji2
g9r+LNqKEZRGWhwP94yicN1rRvE0iSyFLB1JMnPr0OmPvuuOFyGbe5NVgHBuiqLprxtS5+ZoU8OH
spCILzhoos+lP/UYOjVMioypb4spQYcETW4xIULT18XYOwer7bSdLRJ/1cRTUUGlB+MDiVsfvvTN
8NyEU8US0442Vp2l+K2qdAOim40/S4OFSZw8YnKbpOMKMbK76GzWVF3RN2tk3NH1lOQ8oZn97n36
11NE4CFWKii2t3zRvYvBG9SFKCygDSwqwMKNzTumGkrBTKnhPsyUjdqBekEtZUWSw1ISUEwCBHV2
fy6503P5LeZKnKcwRXlcqoa0v0psdHr5dKErwg3MuZKHisDZJOf63jhX+joJipwP1P9Kk+3Rm3uC
ZO4O0rlP6NJeWIs60OR1EytjUxZeQxQ5DUZ97jWQRfMB1XMLYp67kW5uTJilqVN27laIixwYLYY8
rB0lluD1vTkopNLWQYjQzTu3PPLc/hhunZe7tnIHqAOOsR9qG1WzVYI6rhNuXETzMZg5w31jw4Al
D7v1QuR9e7LQjW1HCfaKQ4x+a6qmuxJwwyrVyltNRNGu1LhgJmjJW0TJFsnzVMrkT6D0KSiF9+4A
2rsPadKs2scP08UdGTiSMgwuROuRvKEbT0jN7WUHD+zkSeU+VnwGIyFhtIzJ3DzCwqSPRAGQXIZJ
y6SAJtPKicFW587TOXeh3tyQlmiHt9XcpHZzu4pKGgE9HWw5t7IQw/jY5/aWFzk3urS89dz8klHd
z0ojtndza2xrgXzJreplYEnz0Zkb6G5upae5qc7n9hqMMZ024bzjLpzbb29uxMdzT57O7Xk2N+po
+MWBnGT3aZjb+Pbc0UOb8GE40uZPc8Mfc0hnPkCVFrpTBo9vngwk85Cgm8cF9jw4EG3nrf7+RD0H
Kf7LhukikRC6ZxkOI9TZjnl25X8XtNh4iH5gVGvbsZXWPmd62wpfgs+HoS/mXHCUX/ZJt2bBAbYQ
QR5vZ2974RovDTiPfFljrfs89p3aZ6k1HjRp4KJlmvdMYVA8mrI8dlHerDud2HOKJ3VbZ21EfKtW
JnymsTkzq8ZkB526oRVoY9bQTqC5+0bieli3I6/K9ERPZeVP+VsNxaPimeMQbjPNB1lyPtPi8/k2
nc8663zuhfMR6M2H4d9fsDO36IcLdp4UUkyLeczl2j9hCrya1ZQFSWyLPuhuejafqzftubpVV80N
6LP8Wkuv/v4vWj+BESyeeYYOEtYAUMtR6f70FxUDFobjkb9FYuN/TEGstJhY4vEqGaJJLKmky0M9
VgjjjSAJPxr21K5x1ifvWD8G4jPGyN/ksUJ9J1wq6vXkmzzDBVHs+naCf/wE0My5hw/Bo87JCxgB
ieVKDODJWJNfU1RH6F2EG2HfvKCS4XxinLJwXChGw4QrkPKTYUMWb8hZrTYjGIGDLOzpFREYAXu4
mC/6ypZbUvi0hyxS9REpVHLDlis4iLQjtZ2ZfXkXes6EYj+KE5QUg1rFQ1Q/WoE5n1+ZSJ/OF/X/
mYz/N5ae/q1zbR8SR/VXs/p/Wtek+8EDwIHgAa0ozjXJ4P2bdc38wP2PN8s0vyWD/qE6BSIpMXJ7
noUUAUQUldkfs3ryP/muoM4nFRSBvvOfUue7xlzjff8NhDUCbllKnKagTJwZgPk9J1jPdBAC2jht
STJmbA0xvsg5mwzG2gSHdGTs2L7zxNdUT1dN7UR8G5pE9stgrANjheAC0bpfVv2d0jE8LVy7tTdt
qmWXcujm/WbY3hZoSViMFXjG0DehPhhJ6Q27Ij/wgjKSvNCLKA+ZI0kTUg1Hp9DrAxEOeXRtI2Ly
aFqJP6ffjV1Eq67biHUcFuktWDp7RLI1juwX3cnEPF3pubctXFqmRYHiEj0pkFfI+3Esd7qX26SP
9X5823d2tatoi5KVMeTPgJsHb9kRTvyZN8c3VuJmZeVtdvdu48B0EBos6YXKDH+r7NIlxU05SN0U
fMqNbTk9KlqzcotNNCmrWDWDH11FLRgP0CDM6VeBW076nkptTstQA2MA9nW+u4sBvek7a6IfXPu1
FXHGOsoZllGYa69ITz0wTOkYHQuftWjFdOEIvNPSF3VRuNFhEKjsVjIdAZ9lpov1PqlrshiK3pfk
YBbdSyoSRVxm1xZfBHDZ99ByQSpSOpdH0hfHy0FBMVu0tkcOakfGNUPkckh2hibUSZu0/gYPVfbJ
zEItZhoWBul6rJT23FTWCLQdj3yxtWBgnABJMnERFnkpi6lhnrdkqJneF2baU2+AvqgJmXHKgtW6
NN6dUvfmVYKRvgA9I3i800DsEeg0gXOBocQIoWQxAJQpAZPU+ZBGDIguG6NEiCrqZhboaeUp7Jlg
mW1BIkQs9asK85m2iKc4U6vUtuU6sbPyTW/aARd3bHZQC0ex5JhO9hrmuzXpEyUiuxJRWkRXs5jG
fNy2VlVsCtsYNyTwDRiS/fFSD3KclUzgH4eyiJ4sL2Z7ZE5wsqQu5TNlxnRnFMNwgkhGtmyLiCQx
PHUdG5z6aWJD4Sir5LIzcHh3/C7WYQMpEgZ6JuCXkoFYrs/ySbFWUy3An0TTpcZAbFbY+nvycIqd
yEJvk5sEqsOCyx5rA/1fIc0Hx2QJhM4dNBkph1V/oJLgzmdjNSJLQzXl9RBoiMopl6rTJSCMqDlg
V9RX5IsxcQ5yyHtdN+zNNp/Vc1O/rHSHja9DIgwpJBbXPxF+cDKALt6YokdolTP94l43t2Rau+Uq
pHh7l8pqbzq/FETj2cYdyezTIyJbSFmuHBkyxZWLhXMo88eUjuIJc375mBRt986WO350DfuCeJBu
ZyX87linq1w25NecMMJVL5XImps8s4w35fl2sayE692JiElUHkJNWcYZLQ7hLyOBE0NsEuBtjoyG
2T6+qSluxwVhQtaDEBUzg578jVr1Ge6e2L2GE+a8xpT06zCzffgk2C5vTemiUS0j44IaOP3sNj7z
qqLSBclAmj1ex26OroxcmvJdRJXxON8I9+bkTu+hq1S5kkpPHyZmCzdjNsxCO60HB9pm9ZJNhuJ9
snRfpSDzX0yTdmLbWUNur7w09a/gdnf7kTPi1mdt8yULE/CKDC7Hp4Sk+HbRcDTvTFDTcMVM33wn
BwRdDZBYsKBNIpx7nLEonTu6wOWU2gG1YZC/ObAQvgiaWRyOskxPeuT0gvVATnSkIYcjfXuL5m+K
ps1QtgSHgspbWBDtUPPSlrERQ7dAQbShD0DsQfxfvWeaW5WrOqXlIfOnm3Yp6uOKWWzYzdVqqmZ6
HJJ0xybxU7aiuQ1EWm2jYgiLRR91zR3ZLNHaccyKxS0YQtNJ/dsgtawXZmbJPtcn/1VTzZ1ewjWM
gw5bIqE98Q3UviQjeS+JFqjfBTpEE68mVatgUE2S2YWBXP3oJLK9TCuwTAvGjeF1Yg/eFUZwOrB4
0jouRGpNN8ppArUTcJDukNCk92EfEG8aY9fs+8A9sGrVbxinqX1EIQklgr1UlHQZaixiotZJMnjX
WT6Ou76AHkkTpeHW6EhzWqS6ijSkhK0DsiSqInuJbaACbTeKBydsipugiinW2t7ZI+3L3oam8t4Q
FRLoieqP3BfTrD8bbQvFvYjEfW9Ecj1ZubuGTiFBztblp8AP1BuoegYQhJ4Aj000tlmLqVf1zhlJ
z2M3MxNZjPydlJY6YVLtSjjILdoqurhxJezGvmDFVRxjlZibopqv6GgSZ+Yqu9i0ECIuQqr+G821
NJwBuszKDRE4PG9l6bH9Q+0O0tKwM0JSVa/Y56YMCMJM+AT0jJCDesDl10bS0UYX0koAOGUu+7XI
ihlKRONNDYOXJ3vd1Dd54WZEDdOno1aMwQklDEmPCL4qHl69k1w1zRCAzsyKfWg3KRx9psGfXYSN
zQK3q9KXvmlGB9iiytsI0esPjptGjzyzYcvUUQmtwvWKnh5Tsw9pKsGCwAR48EK8YHTwiE0lGCni
nEWnHdLIn/SLqG/ye2K1TNhFpPwcpkrTrUOYj+ZTUepkXyKKvIgaxykXdpMX+36u09vCFbeDLsXe
8sKExHCdKCcZQH8sJnWa8oYL4nHoLjS3bZ9sryreQ9lPT7qqnW2KteKimSRanknmt55fWUe3Jp+K
bXXjPLWiDrtFqwD1IsC3CLbBB8E0mAynq9SvkqfCMxxYoVyzrc/EBalk46VHb+zkizdhQhki51nH
C7kdnWRYCc3idg4smNF1ad1rUDkuQnSZ4LAQR7CQRQL5wP6LVNoS+uCWDUX6kge6ehQcneUiFnVJ
TJpBhFY7kXNN3NqwE0Ma7p2o6C7INZLzMMfZ+r62ieA9VQvMzBFjDNW/jgLmDckMlrNEy5q8yHFG
/CAjk7va1+WViZpXsCbX+y++3RBgRfh2TWG01suIpByzmfF9cgcRLFl09P8Ho5X3sMvrrfL6O8Pt
y6caa/i2t2o8724vObHi3ta3g9aAjirSIL2LuE2eqkGH5srOd4c5p8/WhmlEZAN4/bBHsk8ca9GV
bbBGeWk9e007fixd9g5gASL2Uir1ONXjjKwBfBalH8LQo9DRg5RpLx/zRChWZzcc22X6ElWO4iJ6
yCxHweNz689K6ynsklN8ll97sxK7GDXt5CDOhv7pnoJZrx2dpdtwwMyLzlKwfc/S7nJWeZez3ht3
urmLZw14DDl0E+ghMreoN++VdeHP/vGJdIgSBstlk+kMRXRlrVVWsybxdHruPMwuMkNHbo0m8dTI
tlxpjnHlZpFxBYXCX1S1rm78WbKezOJ1xAjo2FuDZ+xCnfXtbqXcVT+L3rtZ/m6wfjkGVcYORGtm
kXyGaeiynigWFzXtzKN9FtRPZ3G9GHMNbjMFIvL22pErc1biV5x1PMFG+7Z02VytZtQSUZdVnvYL
X5OeBvwFXT8bYO9KYSc5Be4s+8foQEphPw7TnuVD9dw4hvMgAT4cSVDFNmDlvfPYOIV9w2HH1iar
9PCFL7C+MUeVU0KfzQezDcGdDQllYmMT4XWKFbMWuRe88XfP6cEFhipwmW5Tb17kKsPokJ5ND6hm
GqKmZi+E2cy2iCwtzZxTczS0VdeweV8EaPwR27G+wQYWBNiJu4b4b7QDtkC9aGlvxEM3d3ngT+ay
pWZflcgBryc37V4K1xnLVdWP+WUnXRbm0oHyHWuUOKPV69eycdKXhilGi3kMmMh1k4e6iUq1Su2V
HVo4KUhF83Gz9ANgEZ2kXXM3lOw5+UZ4uBl64T35xJQQ+u36qHUSdLfM3Bi3E6aXWtrMlB11/BeT
8dQ0TLu3raPLgzcy8WXlFEQPhSazEdhRTaYFG1PrvQG4UGxLJszjxtdbSFPocYJ2xc6wCa9b06Ll
SFMyMhlaGhMPPYL6eFaNt3xniPwkbg3WYThRa3D6H9qw39Vdlh8GHOdPHEv2rVPwOIhi3zvk/dje
DfDJmeGn05OaAlfDZBMNUJXBeCzrUE9RW1TO5Px/QeN/iO0DbsDTHSwUwpopATYMgu9mcau39u0f
X3/PnJP1v/7HnydM/eN/55//8Zeogz/9E18VkHP8FENDpCKWTeggL+OPqcqZemAAL4DyynTlPG/5
Y64C9QD1I8cDBkZhsev+11xFR1Fpke1g8HbmXyn/MxpIw5w1jt/PVb5iD3QeGSjwbbZOP85VKj9W
Mem2FmKoh24sLr17YxNsGGIDZ4NnLGc/P/qXW/Mh56HbAUd+aKqI+Jonf2hXka8tZW+hisxePR//
ZQiJGM2atmGzuu1LSfoe6a3y4zigNi4D9PXRU6deKWfX2sg2X5/uTNybSoxwCOuNqe1L+V5jMd0h
2+vFVfAZwiF+s+PINCJXl0XdLX3nPSO8O6kxPFFBGg5mWgQfHvSxPstXIwbWNBy3mQOw1Rk65BHx
xta2uhPXm9hoAx6X6dVAyKY3MfpUHxm4PDStfpPNAYdR4Eq+0aQKNsxPrPxTm147sgfth3GCZRw9
dYAbikIBSp5yxQnL2l2Q4qQ0640+it1csYDUTLEwHM0BgktTltdNR3FbBTXkUm3txPoJwRbswThm
m1l8semtl3llvehoMfmY1j3xpejNF7GvNlaTbEZrXNYtie5OTexhc2lG7al1TBIAzE+J65yGgtfK
M4bMUEPAeBk54qaNyCAjAlxiimNR/jrQZ7DOBPg4o1OQlR0ulYZJgIyuKiKS4uHyu6/Nn+xtjX+b
ms/fO51QM9eA+eGyZ/jx3kIV2+DaZacwTNlD3bKJt6zmNPT2jvzStS1g9aSus2+TfJuW12w7trZh
HbCxdiuoaNAem56hne9dzDHAiaZToalNHWNo6nzzZPYFPBn7zrRs1nJxs6oorqv8oHfWti7zA9MR
g/IOXyfKxunGTsMdWngYmt5Vy0eIe/Ldqu1bO3nRuMzUQEvCZTZBnEBSCpeIWliZz2Sk5ig9dwVD
eBXU2o4J2am2601vWqdR946OhUgJj4Y3IOAK2/sYzB23JECbvWW8OhBhYZDvOc6v9II5n1YEFX74
IYSwCONzJBSsBxKRX7oVahXQt3YmP2btuEtTnfTDmV6vQXlIuuk4DWSCSv9tLO1NkbNM4RcCnCSn
EhYeIh7rSYgAZPC9qOvLGgME1Mb7fHidYns4lGJE8IXq/6XyTdbgIUab2FyHpQHhh1tEOdaGJnRX
0dPpA6+xz8brgEAE2I0FjX9rdocKY1PpTK9/f5uIeZPxwwnEXYJJ1mQKRRibd97+f7eMmgpdYtvO
/bVTJF8CrXvyuXx+bbxWdUgqWc02tb6t/ORq6vrroKkvYjVcRfjEjKSpNiw1UQt68SpuSljA3nUo
Ms6u9raRHtkNLYVr2L+Xdv5/ubuZff/0umHYoByHM2vzgDHQHP54dzclxuDeIPOrcmuXTgPOOr7D
idnP0DF7qYki87GtbrFYQLp1dhpyKlrR7o1sO2ZM2ypMx4WrEVlbV+jOS0JKDgZZwAWSIbeDjCoc
gnSi/o6DdWumwymKu7tSMx4m5MWATj7jz77LrIbhgmxXRQgMEB0Af9hpi/UgJUdjL971jn4saFuN
fQ6iy3jCIpyW6jbs+xPDrEPp+KRUOzmxXT4UJ8d7hdBpLNgP3jtGet0zgmD9Wb7jrQnXtlneq1Z7
90IzXcrIeWf3etc48TNAzm3dN6zvjfcypQ+DlOblvIKguqjp0yZc+XhRHxlNbxFLegu3/qgAqI7o
/4pMrYlromkj5CZcRon9lJc40dB7WIx3Mru9RF1zalqeHqVOAyHBxxoYB8Oue4rr9oGpF+e49Twl
1UMQDdcdmqxV3yE51NodqaXLKtB3dpXf2aHa6TQ8gK8/+Xp5l4LX7ATmWUQfdWzD4pKnINcvgPaf
lIU0LJV3mSEY7mbOil3m2kM1H+EfDUJ9w0d/1A1gK72a4QRP6MR2vYsg18XeyDi2OLb+tCbeZoNn
eJm6DHma53i6m+k84HlXYXfwyuQizv2nmku4HV3Yt2DYNhXKH5lM65CxPZI3goEIKwZ5ewIuu8Ih
+FJlhFDhIMx3gvyF5WQijYsdt32KM/emINhhoUG/yZmsMm/s0c3GoPAsVKviPZIZ7Zb3ZDWQMbXi
MyiZDWwOZOOFf8z5GoJbLk5tlezwX27iorzLlHObBPHBEqNaoepYVEjP0V0Z/P/blVd0G9QLKz9o
cp5Mz7FQO3MYdllHbmGSR0y+2uyB4OrnoLGPQ20+pq0sFrbzbE/V/ZB17Zq7+qLy3fdJmAe/C521
QmGEZD04jJj+aJzHcQXILl3b1nRkN77AanyNUKbeurX+ZkHjXcPUuC3M8S2poJyh4X3WU/IYDFbR
S8KuT7XVPvST3PekBkOMiNZacpGgE8YwktMjDksRxvf4AJ870R30YfiYDWx/tBxJdWruNMUURddP
GWEoyJIfM0yssgaubnm3TqddBskLqgiGR93Sw0vb9NGNiTt+5G63mL5OEUwArtgweJT9JlqHaFu0
qHyM6tbXPvaJfPcm/XUI4CSJYWN03qeYlMEoc9ld2fat733JmJC53trSrmp5VRpXtnmdd7dQ2041
+N3OpNUxb/sRAEgsH7KhYa7PSABZItzFRY8cW8RfkojcGsW2oXl2vXtl42QbyFtJ34E+rgzx0gV3
boDiTNbEJ98wFMdnRkxiJ7hdtMtYx54WlYtwOupsnNwRky7PqAisG4Jm28rWyRl54fB8uDbUJyIN
sSebzy1sFWfke52IZ+mdskFhV7vRZ28lZ+VT5YtkSX7uKog+KowkWfc+xAUcQe/jYJrpxuubj1rp
7KI62NELf+4VDVLnhfR8hUeoWBIsbE+tGNMsWq8g3D3EnIIyrFnJIHuMRkKFBjFan7VaGAuJ0rEA
uLNR5FmABrkPg8pdTbFx7yXaSzGOT0Uy3U9DfJr81kUuT0qWSXT3RdAm6TpPZb52nbxb9Sr/VHTT
Vk7urmVPjf+baQrCWeqq4U6z4AfXOpnU9LEZ0q2WgUJn1EzUfdJzWhZPjvsx6/s93ocvpKPfAzop
l1UsdnFMTErBsJeUzCxZ++6swwAUEvftfWpOlHbZmkL9SN7Ge6KTbWlsg9bZW2zyjKK+hA3I6Yu0
uLIhYbZblJliZTF43mANRn6D0mmFSj+C+lJry8byWrY+2rj4n+HkixSusbcube+UCHK9qcCY6GTP
OOzABhbMRoPGvzVDY8+1idbsGmaQMRCpwoVP7uYdPlToxlDznbv/rpX9LyzjvwkG5tZvfc5cvOm+
1OPtF0if7T9xqvO/nooob++L/9p/9Ic17c9/0bee8yuAjxsmb+dXEBAW+wMcaq6pf7DhnV/S+fX+
3W9I39qo7T7TzgrxgaGMdBDffP2hCCdAKfj2z653huix7zf1889XhtV3V+ivrsHfv72vF/Pv/5sf
3sBfMwjtmaH7H7kGP/2Kf10DwwbKa9sGNt9vF+Hna8AgneGAZ33956/X/De6BmidGBv80jUQ9gfE
PBKU3LcPmiHId/eB5J+BAjNX+PqHfqM374LAF+Yvv39Bpo2Ai8b67/zz4/t3jQ/k1ekOdtCv9wD6
Eq73b3QZDJ0JFlOhX7wPTEZLs3qPseufXgfnA5BolJ6Mgs4/dGu/2XVwUNv+4kUwSEVCXSesv7gZ
nA8GXxa+Kt8Ozd/uQGCOJ7/eoV+Dzf/5jPn3J8NfnorCI7FXGkQO/XASuM4H09KhGVry6w3y230T
TMafPMV+7Tick4xnOa3x9U3qPx4HkBaRrM0Pzt/2Dvh6HDB0+LXrID84jDYYwfz5ceB+4ERE+Gkb
v+uxOEeX/epFMD/YM+oKudWfnokSlSPJNShyv16E3+44sAz4Cr94EQzvg8XIlRWe96cXgTNRlx4r
5K/XYM4o+L0eDAInxX/D01FaUKapEn48FO0P1IeWa87E0/nn6/nzG5UH847pV9+9cD6cxbUOWI7z
z08Xgew/Pn1C3r99D367W4DYeufri/qvPxYNkCWGw2Nh1j9/VyG7EiyvqxPG8fu1SI6BNppq5VeP
APcDB+CcM/LTW/c+MJjns7e/ffl/u7v//7B2bbtpA0H0V6w+9DmQ0ApVjdQ0UpMmUNQi9XniXcUL
BqI1VuV+fc/ejBcbJ/WQt3jNmdnbeG67c2kUd2bvx1jekwkS2VG3xf4dqQRIj8fFdXhh4pr/QzN+
g5yo/Q643zAX1uOgZNHlmDj1QjC22+3e0L4Xn9+ZIF30onFAONrSukLM/9eRzmiNoEZjMIosHf9z
38E26YhW6FV4eKekJp1mlW2oPJsuDI94e6YpWWgSssgin4h1CBwYatUvqBWiXvyioE0TdjwykScu
7I3CWYsAYwbcme5c2DvSFW2pCexNADay2lCKukadI40b7KFgckl8J1yinbynzcun5IFw3FxFIwQz
awrJxaXyQHoLl906HiRnLLKxsU7zI+CrKQQAF/iR1kVG4o+ULwHM7tKP0GrDA+cijLZkQ9L1rfEZ
iazq3kNOa+ay/0MosB8YNZyPEQs9w2QuSlGmmdS6isA/XJqKD1yuF+V2RU8Bx3LtVEcu8E9aUbHH
QasI2ylmXOxfar1WkcBCwNyoIlzgJW1UnsxJlAHLii2nSXHB7T1xXaLF2/Bc/N+y2Cc3cvtMecS9
Uwe46DOCMIfA2utojXtri4v+rVwBfd/ku3Z1srF3EccGF2d9A6nhEgVf5brcz1yluyfSyX2R4xrA
IoCb1QPf2WhkzBFuP74gq/305+kCPlGbVcQlM1N/dzpWBwCNizWmsKq54Euk7qOyQwAy4+PBz7B7
u7MVW7SQYRieDZ/8OWGbYaoDku8JvNLmNCZ3mPqL2de66TBtb/ZK7UYm/K3MMxWG4DAsV2fYcSdz
Tn084Azfw6/maLBq1aWp4w3cmX1L5RvmBNjvTP99pEwKr56hZuIvJbbW87GOfzDsuZPwSALj01yj
uAYC2cWI+qFaqUkzxrm90DxcRnTLoyHZ073j2WVv1tG6thUaotFdP4tNbPNGmkvS1/8AAAD//w==
</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chart" Target="../charts/chart7.xml"/><Relationship Id="rId12" Type="http://schemas.microsoft.com/office/2014/relationships/chartEx" Target="../charts/chartEx4.xml"/><Relationship Id="rId2" Type="http://schemas.openxmlformats.org/officeDocument/2006/relationships/hyperlink" Target="#'Sales Data'!A1"/><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image" Target="../media/image3.jpeg"/><Relationship Id="rId10" Type="http://schemas.microsoft.com/office/2014/relationships/chartEx" Target="../charts/chartEx3.xml"/><Relationship Id="rId4" Type="http://schemas.openxmlformats.org/officeDocument/2006/relationships/hyperlink" Target="#pivot!A1"/><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84667</xdr:colOff>
      <xdr:row>0</xdr:row>
      <xdr:rowOff>0</xdr:rowOff>
    </xdr:from>
    <xdr:ext cx="24581556" cy="1671690"/>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2C6E3D2-C546-3518-E272-2BA8FB0C75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667" y="0"/>
              <a:ext cx="24581556" cy="1671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54430</xdr:colOff>
      <xdr:row>23</xdr:row>
      <xdr:rowOff>18141</xdr:rowOff>
    </xdr:from>
    <xdr:ext cx="1378856" cy="308429"/>
    <xdr:sp macro="" textlink="">
      <xdr:nvSpPr>
        <xdr:cNvPr id="3" name="TextBox 2">
          <a:extLst>
            <a:ext uri="{FF2B5EF4-FFF2-40B4-BE49-F238E27FC236}">
              <a16:creationId xmlns:a16="http://schemas.microsoft.com/office/drawing/2014/main" id="{E371C9A9-7977-804D-3E44-FC5930F46FA9}"/>
            </a:ext>
          </a:extLst>
        </xdr:cNvPr>
        <xdr:cNvSpPr txBox="1"/>
      </xdr:nvSpPr>
      <xdr:spPr>
        <a:xfrm flipV="1">
          <a:off x="54430" y="3991427"/>
          <a:ext cx="1378856" cy="308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oneCellAnchor>
    <xdr:from>
      <xdr:col>0</xdr:col>
      <xdr:colOff>108857</xdr:colOff>
      <xdr:row>19</xdr:row>
      <xdr:rowOff>154215</xdr:rowOff>
    </xdr:from>
    <xdr:ext cx="961572" cy="408214"/>
    <xdr:sp macro="" textlink="">
      <xdr:nvSpPr>
        <xdr:cNvPr id="4" name="TextBox 3">
          <a:extLst>
            <a:ext uri="{FF2B5EF4-FFF2-40B4-BE49-F238E27FC236}">
              <a16:creationId xmlns:a16="http://schemas.microsoft.com/office/drawing/2014/main" id="{8524C83C-BE22-178E-441E-22464293E273}"/>
            </a:ext>
          </a:extLst>
        </xdr:cNvPr>
        <xdr:cNvSpPr txBox="1"/>
      </xdr:nvSpPr>
      <xdr:spPr>
        <a:xfrm>
          <a:off x="108857" y="3755572"/>
          <a:ext cx="961572" cy="4082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0</xdr:colOff>
      <xdr:row>21</xdr:row>
      <xdr:rowOff>9071</xdr:rowOff>
    </xdr:from>
    <xdr:to>
      <xdr:col>1</xdr:col>
      <xdr:colOff>9071</xdr:colOff>
      <xdr:row>23</xdr:row>
      <xdr:rowOff>0</xdr:rowOff>
    </xdr:to>
    <xdr:sp macro="" textlink="$B$11">
      <xdr:nvSpPr>
        <xdr:cNvPr id="6" name="TextBox 5">
          <a:extLst>
            <a:ext uri="{FF2B5EF4-FFF2-40B4-BE49-F238E27FC236}">
              <a16:creationId xmlns:a16="http://schemas.microsoft.com/office/drawing/2014/main" id="{4B4D6DEB-44A2-0454-20E5-A5DDB5E300FD}"/>
            </a:ext>
          </a:extLst>
        </xdr:cNvPr>
        <xdr:cNvSpPr txBox="1"/>
      </xdr:nvSpPr>
      <xdr:spPr>
        <a:xfrm>
          <a:off x="0" y="3791857"/>
          <a:ext cx="743857" cy="362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5591AD-2895-4334-80BE-090EF5E61BE2}" type="TxLink">
            <a:rPr lang="en-US" sz="1100" b="0" i="0" u="none" strike="noStrike">
              <a:solidFill>
                <a:srgbClr val="000000"/>
              </a:solidFill>
              <a:latin typeface="Calibri"/>
              <a:ea typeface="Calibri"/>
              <a:cs typeface="Calibri"/>
            </a:rPr>
            <a:pPr/>
            <a:t>2353508</a:t>
          </a:fld>
          <a:endParaRPr lang="en-IN" sz="1100"/>
        </a:p>
      </xdr:txBody>
    </xdr:sp>
    <xdr:clientData/>
  </xdr:twoCellAnchor>
  <xdr:twoCellAnchor>
    <xdr:from>
      <xdr:col>0</xdr:col>
      <xdr:colOff>680358</xdr:colOff>
      <xdr:row>18</xdr:row>
      <xdr:rowOff>136072</xdr:rowOff>
    </xdr:from>
    <xdr:to>
      <xdr:col>2</xdr:col>
      <xdr:colOff>390071</xdr:colOff>
      <xdr:row>27</xdr:row>
      <xdr:rowOff>136071</xdr:rowOff>
    </xdr:to>
    <xdr:graphicFrame macro="">
      <xdr:nvGraphicFramePr>
        <xdr:cNvPr id="7" name="Chart 6">
          <a:extLst>
            <a:ext uri="{FF2B5EF4-FFF2-40B4-BE49-F238E27FC236}">
              <a16:creationId xmlns:a16="http://schemas.microsoft.com/office/drawing/2014/main" id="{65B66834-5B4C-B914-0763-5EAF09C80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9070</xdr:colOff>
      <xdr:row>21</xdr:row>
      <xdr:rowOff>2431</xdr:rowOff>
    </xdr:from>
    <xdr:to>
      <xdr:col>3</xdr:col>
      <xdr:colOff>834572</xdr:colOff>
      <xdr:row>22</xdr:row>
      <xdr:rowOff>169927</xdr:rowOff>
    </xdr:to>
    <xdr:sp macro="" textlink="$E$11">
      <xdr:nvSpPr>
        <xdr:cNvPr id="8" name="TextBox 7">
          <a:extLst>
            <a:ext uri="{FF2B5EF4-FFF2-40B4-BE49-F238E27FC236}">
              <a16:creationId xmlns:a16="http://schemas.microsoft.com/office/drawing/2014/main" id="{E1EA248D-EF6D-1CFC-B72E-1BA518A4DAC9}"/>
            </a:ext>
          </a:extLst>
        </xdr:cNvPr>
        <xdr:cNvSpPr txBox="1"/>
      </xdr:nvSpPr>
      <xdr:spPr>
        <a:xfrm flipH="1">
          <a:off x="2422070" y="3785217"/>
          <a:ext cx="825502" cy="348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973C1A-116E-4DFF-B5D8-294958EF0C86}" type="TxLink">
            <a:rPr lang="en-US" sz="1100" b="0" i="0" u="none" strike="noStrike">
              <a:solidFill>
                <a:srgbClr val="000000"/>
              </a:solidFill>
              <a:latin typeface="Calibri"/>
              <a:ea typeface="Calibri"/>
              <a:cs typeface="Calibri"/>
            </a:rPr>
            <a:pPr/>
            <a:t>1356702</a:t>
          </a:fld>
          <a:endParaRPr lang="en-IN" sz="1100"/>
        </a:p>
      </xdr:txBody>
    </xdr:sp>
    <xdr:clientData/>
  </xdr:twoCellAnchor>
  <xdr:twoCellAnchor>
    <xdr:from>
      <xdr:col>4</xdr:col>
      <xdr:colOff>2</xdr:colOff>
      <xdr:row>19</xdr:row>
      <xdr:rowOff>0</xdr:rowOff>
    </xdr:from>
    <xdr:to>
      <xdr:col>5</xdr:col>
      <xdr:colOff>335644</xdr:colOff>
      <xdr:row>27</xdr:row>
      <xdr:rowOff>90714</xdr:rowOff>
    </xdr:to>
    <xdr:graphicFrame macro="">
      <xdr:nvGraphicFramePr>
        <xdr:cNvPr id="11" name="Chart 10">
          <a:extLst>
            <a:ext uri="{FF2B5EF4-FFF2-40B4-BE49-F238E27FC236}">
              <a16:creationId xmlns:a16="http://schemas.microsoft.com/office/drawing/2014/main" id="{C34CA68D-C807-A8B7-CA3B-D4C4F9EFE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9070</xdr:colOff>
      <xdr:row>21</xdr:row>
      <xdr:rowOff>2431</xdr:rowOff>
    </xdr:from>
    <xdr:to>
      <xdr:col>8</xdr:col>
      <xdr:colOff>18143</xdr:colOff>
      <xdr:row>22</xdr:row>
      <xdr:rowOff>169927</xdr:rowOff>
    </xdr:to>
    <xdr:sp macro="" textlink="$I$11">
      <xdr:nvSpPr>
        <xdr:cNvPr id="5" name="TextBox 4">
          <a:extLst>
            <a:ext uri="{FF2B5EF4-FFF2-40B4-BE49-F238E27FC236}">
              <a16:creationId xmlns:a16="http://schemas.microsoft.com/office/drawing/2014/main" id="{E50DC0C4-4F38-9E2B-3D57-3FE91081CD1A}"/>
            </a:ext>
          </a:extLst>
        </xdr:cNvPr>
        <xdr:cNvSpPr txBox="1"/>
      </xdr:nvSpPr>
      <xdr:spPr>
        <a:xfrm flipH="1">
          <a:off x="6567713" y="3785217"/>
          <a:ext cx="879930" cy="348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B00C19-AF94-4FB2-8FFC-F4B634E836AB}" type="TxLink">
            <a:rPr lang="en-US" sz="1100" b="0" i="0" u="none" strike="noStrike">
              <a:solidFill>
                <a:srgbClr val="000000"/>
              </a:solidFill>
              <a:latin typeface="Calibri"/>
              <a:ea typeface="Calibri"/>
              <a:cs typeface="Calibri"/>
            </a:rPr>
            <a:pPr/>
            <a:t>996806</a:t>
          </a:fld>
          <a:endParaRPr lang="en-US" sz="1100" b="0" i="0" u="none" strike="noStrike">
            <a:solidFill>
              <a:srgbClr val="000000"/>
            </a:solidFill>
            <a:latin typeface="Calibri"/>
            <a:ea typeface="Calibri"/>
            <a:cs typeface="Calibri"/>
          </a:endParaRPr>
        </a:p>
      </xdr:txBody>
    </xdr:sp>
    <xdr:clientData/>
  </xdr:twoCellAnchor>
  <xdr:twoCellAnchor>
    <xdr:from>
      <xdr:col>8</xdr:col>
      <xdr:colOff>18144</xdr:colOff>
      <xdr:row>19</xdr:row>
      <xdr:rowOff>20864</xdr:rowOff>
    </xdr:from>
    <xdr:to>
      <xdr:col>9</xdr:col>
      <xdr:colOff>698500</xdr:colOff>
      <xdr:row>27</xdr:row>
      <xdr:rowOff>81642</xdr:rowOff>
    </xdr:to>
    <xdr:graphicFrame macro="">
      <xdr:nvGraphicFramePr>
        <xdr:cNvPr id="9" name="Chart 8">
          <a:extLst>
            <a:ext uri="{FF2B5EF4-FFF2-40B4-BE49-F238E27FC236}">
              <a16:creationId xmlns:a16="http://schemas.microsoft.com/office/drawing/2014/main" id="{81577F03-4862-B3D4-289C-6AE382469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17518</xdr:colOff>
      <xdr:row>17</xdr:row>
      <xdr:rowOff>173181</xdr:rowOff>
    </xdr:from>
    <xdr:to>
      <xdr:col>13</xdr:col>
      <xdr:colOff>825500</xdr:colOff>
      <xdr:row>31</xdr:row>
      <xdr:rowOff>164522</xdr:rowOff>
    </xdr:to>
    <xdr:graphicFrame macro="">
      <xdr:nvGraphicFramePr>
        <xdr:cNvPr id="12" name="Chart 11">
          <a:extLst>
            <a:ext uri="{FF2B5EF4-FFF2-40B4-BE49-F238E27FC236}">
              <a16:creationId xmlns:a16="http://schemas.microsoft.com/office/drawing/2014/main" id="{2A7A1095-7D54-9358-A4DE-B311F7CC0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1847590</xdr:colOff>
      <xdr:row>67</xdr:row>
      <xdr:rowOff>5688</xdr:rowOff>
    </xdr:from>
    <xdr:to>
      <xdr:col>17</xdr:col>
      <xdr:colOff>204718</xdr:colOff>
      <xdr:row>78</xdr:row>
      <xdr:rowOff>170598</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11596B6F-1EF8-80A8-F704-D2B21D216F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311630" y="12235788"/>
              <a:ext cx="4521708" cy="21765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364785</xdr:colOff>
      <xdr:row>65</xdr:row>
      <xdr:rowOff>154023</xdr:rowOff>
    </xdr:from>
    <xdr:to>
      <xdr:col>21</xdr:col>
      <xdr:colOff>762000</xdr:colOff>
      <xdr:row>85</xdr:row>
      <xdr:rowOff>68751</xdr:rowOff>
    </xdr:to>
    <xdr:graphicFrame macro="">
      <xdr:nvGraphicFramePr>
        <xdr:cNvPr id="16" name="Chart 15">
          <a:extLst>
            <a:ext uri="{FF2B5EF4-FFF2-40B4-BE49-F238E27FC236}">
              <a16:creationId xmlns:a16="http://schemas.microsoft.com/office/drawing/2014/main" id="{71E186DE-9852-E838-C430-7461BADAF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311020</xdr:colOff>
      <xdr:row>48</xdr:row>
      <xdr:rowOff>101600</xdr:rowOff>
    </xdr:from>
    <xdr:to>
      <xdr:col>24</xdr:col>
      <xdr:colOff>373223</xdr:colOff>
      <xdr:row>84</xdr:row>
      <xdr:rowOff>31102</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023382CB-74A2-F98B-BD1E-DB1464720D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7882740" y="8856980"/>
              <a:ext cx="4718023" cy="65131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7469</xdr:colOff>
      <xdr:row>0</xdr:row>
      <xdr:rowOff>11207</xdr:rowOff>
    </xdr:from>
    <xdr:to>
      <xdr:col>19</xdr:col>
      <xdr:colOff>596348</xdr:colOff>
      <xdr:row>4</xdr:row>
      <xdr:rowOff>3735</xdr:rowOff>
    </xdr:to>
    <xdr:sp macro="" textlink="">
      <xdr:nvSpPr>
        <xdr:cNvPr id="2" name="TextBox 1">
          <a:extLst>
            <a:ext uri="{FF2B5EF4-FFF2-40B4-BE49-F238E27FC236}">
              <a16:creationId xmlns:a16="http://schemas.microsoft.com/office/drawing/2014/main" id="{4BFDE069-9B85-A18D-B1CE-FE0AFE6AEC61}"/>
            </a:ext>
          </a:extLst>
        </xdr:cNvPr>
        <xdr:cNvSpPr txBox="1"/>
      </xdr:nvSpPr>
      <xdr:spPr>
        <a:xfrm>
          <a:off x="7469" y="11207"/>
          <a:ext cx="12129314" cy="743485"/>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endParaRPr lang="en-IN" sz="1100">
            <a:solidFill>
              <a:schemeClr val="accent3"/>
            </a:solidFill>
          </a:endParaRPr>
        </a:p>
      </xdr:txBody>
    </xdr:sp>
    <xdr:clientData/>
  </xdr:twoCellAnchor>
  <xdr:twoCellAnchor>
    <xdr:from>
      <xdr:col>5</xdr:col>
      <xdr:colOff>66260</xdr:colOff>
      <xdr:row>0</xdr:row>
      <xdr:rowOff>68770</xdr:rowOff>
    </xdr:from>
    <xdr:to>
      <xdr:col>19</xdr:col>
      <xdr:colOff>452782</xdr:colOff>
      <xdr:row>3</xdr:row>
      <xdr:rowOff>103406</xdr:rowOff>
    </xdr:to>
    <xdr:sp macro="" textlink="">
      <xdr:nvSpPr>
        <xdr:cNvPr id="5" name="Rectangle 4">
          <a:extLst>
            <a:ext uri="{FF2B5EF4-FFF2-40B4-BE49-F238E27FC236}">
              <a16:creationId xmlns:a16="http://schemas.microsoft.com/office/drawing/2014/main" id="{3F427715-A296-14CF-ADDA-A8DABB5D3E00}"/>
            </a:ext>
          </a:extLst>
        </xdr:cNvPr>
        <xdr:cNvSpPr/>
      </xdr:nvSpPr>
      <xdr:spPr>
        <a:xfrm>
          <a:off x="3103217" y="68770"/>
          <a:ext cx="8890000" cy="597853"/>
        </a:xfrm>
        <a:prstGeom prst="rect">
          <a:avLst/>
        </a:prstGeom>
        <a:solidFill>
          <a:schemeClr val="accent1"/>
        </a:solidFill>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marL="3657600" lvl="8" indent="-3657600" algn="l"/>
          <a:r>
            <a:rPr lang="en-IN" sz="2400" b="0" i="0" u="none">
              <a:ln>
                <a:solidFill>
                  <a:schemeClr val="bg1"/>
                </a:solidFill>
              </a:ln>
              <a:solidFill>
                <a:schemeClr val="bg1"/>
              </a:solidFill>
              <a:latin typeface="+mn-lt"/>
              <a:ea typeface="ADLaM Display" panose="020F0502020204030204" pitchFamily="2" charset="0"/>
              <a:cs typeface="ADLaM Display" panose="020F0502020204030204" pitchFamily="2" charset="0"/>
            </a:rPr>
            <a:t>     </a:t>
          </a:r>
          <a:r>
            <a:rPr lang="en-IN" sz="2800" b="1" i="0" u="none">
              <a:ln>
                <a:solidFill>
                  <a:schemeClr val="bg1"/>
                </a:solidFill>
              </a:ln>
              <a:solidFill>
                <a:schemeClr val="bg1"/>
              </a:solidFill>
              <a:latin typeface="+mn-lt"/>
              <a:ea typeface="ADLaM Display" panose="020F0502020204030204" pitchFamily="2" charset="0"/>
              <a:cs typeface="ADLaM Display" panose="020F0502020204030204" pitchFamily="2" charset="0"/>
            </a:rPr>
            <a:t>Sales</a:t>
          </a:r>
          <a:r>
            <a:rPr lang="en-IN" sz="2800" b="1" i="0" u="none" baseline="0">
              <a:ln>
                <a:solidFill>
                  <a:schemeClr val="bg1"/>
                </a:solidFill>
              </a:ln>
              <a:solidFill>
                <a:schemeClr val="bg1"/>
              </a:solidFill>
              <a:latin typeface="+mn-lt"/>
              <a:ea typeface="ADLaM Display" panose="020F0502020204030204" pitchFamily="2" charset="0"/>
              <a:cs typeface="ADLaM Display" panose="020F0502020204030204" pitchFamily="2" charset="0"/>
            </a:rPr>
            <a:t> Dashboard (2025 - 2026)</a:t>
          </a:r>
          <a:endParaRPr lang="en-IN" sz="2800" b="1" i="0" u="none">
            <a:ln>
              <a:solidFill>
                <a:schemeClr val="bg1"/>
              </a:solidFill>
            </a:ln>
            <a:solidFill>
              <a:schemeClr val="bg1"/>
            </a:solidFill>
            <a:latin typeface="+mn-lt"/>
            <a:ea typeface="ADLaM Display" panose="020F0502020204030204" pitchFamily="2" charset="0"/>
            <a:cs typeface="ADLaM Display" panose="020F0502020204030204" pitchFamily="2" charset="0"/>
          </a:endParaRPr>
        </a:p>
      </xdr:txBody>
    </xdr:sp>
    <xdr:clientData/>
  </xdr:twoCellAnchor>
  <xdr:twoCellAnchor editAs="oneCell">
    <xdr:from>
      <xdr:col>0</xdr:col>
      <xdr:colOff>26441</xdr:colOff>
      <xdr:row>0</xdr:row>
      <xdr:rowOff>12019</xdr:rowOff>
    </xdr:from>
    <xdr:to>
      <xdr:col>4</xdr:col>
      <xdr:colOff>599607</xdr:colOff>
      <xdr:row>3</xdr:row>
      <xdr:rowOff>162394</xdr:rowOff>
    </xdr:to>
    <xdr:pic>
      <xdr:nvPicPr>
        <xdr:cNvPr id="20" name="Picture 19" descr="Flipkart Logo and symbol, meaning, history, PNG">
          <a:extLst>
            <a:ext uri="{FF2B5EF4-FFF2-40B4-BE49-F238E27FC236}">
              <a16:creationId xmlns:a16="http://schemas.microsoft.com/office/drawing/2014/main" id="{596F2610-60BD-EF9A-5EF2-81F0554154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441" y="12019"/>
          <a:ext cx="3021559" cy="7125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0</xdr:colOff>
      <xdr:row>4</xdr:row>
      <xdr:rowOff>55217</xdr:rowOff>
    </xdr:from>
    <xdr:ext cx="1325217" cy="1755913"/>
    <mc:AlternateContent xmlns:mc="http://schemas.openxmlformats.org/markup-compatibility/2006" xmlns:a14="http://schemas.microsoft.com/office/drawing/2010/main">
      <mc:Choice Requires="a14">
        <xdr:graphicFrame macro="">
          <xdr:nvGraphicFramePr>
            <xdr:cNvPr id="24" name="Category 1">
              <a:extLst>
                <a:ext uri="{FF2B5EF4-FFF2-40B4-BE49-F238E27FC236}">
                  <a16:creationId xmlns:a16="http://schemas.microsoft.com/office/drawing/2014/main" id="{9BC5AD9A-CE7D-4E23-8CD2-7527211CEA5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 y="729905"/>
              <a:ext cx="1328442" cy="1671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15187</xdr:colOff>
      <xdr:row>13</xdr:row>
      <xdr:rowOff>132522</xdr:rowOff>
    </xdr:from>
    <xdr:to>
      <xdr:col>2</xdr:col>
      <xdr:colOff>121478</xdr:colOff>
      <xdr:row>26</xdr:row>
      <xdr:rowOff>180118</xdr:rowOff>
    </xdr:to>
    <xdr:sp macro="" textlink="">
      <xdr:nvSpPr>
        <xdr:cNvPr id="25" name="Rectangle 24">
          <a:extLst>
            <a:ext uri="{FF2B5EF4-FFF2-40B4-BE49-F238E27FC236}">
              <a16:creationId xmlns:a16="http://schemas.microsoft.com/office/drawing/2014/main" id="{5A241A2A-ECCF-D021-CAA4-F203242B0B47}"/>
            </a:ext>
          </a:extLst>
        </xdr:cNvPr>
        <xdr:cNvSpPr/>
      </xdr:nvSpPr>
      <xdr:spPr>
        <a:xfrm>
          <a:off x="15187" y="2573131"/>
          <a:ext cx="1321074" cy="2499248"/>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oneCellAnchor>
    <xdr:from>
      <xdr:col>0</xdr:col>
      <xdr:colOff>242958</xdr:colOff>
      <xdr:row>21</xdr:row>
      <xdr:rowOff>55217</xdr:rowOff>
    </xdr:from>
    <xdr:ext cx="971825" cy="949739"/>
    <xdr:pic>
      <xdr:nvPicPr>
        <xdr:cNvPr id="28" name="Picture 27">
          <a:hlinkClick xmlns:r="http://schemas.openxmlformats.org/officeDocument/2006/relationships" r:id="rId2"/>
          <a:extLst>
            <a:ext uri="{FF2B5EF4-FFF2-40B4-BE49-F238E27FC236}">
              <a16:creationId xmlns:a16="http://schemas.microsoft.com/office/drawing/2014/main" id="{BD9DBEEE-E5A0-0A74-D5ED-6BBDA335E2AB}"/>
            </a:ext>
          </a:extLst>
        </xdr:cNvPr>
        <xdr:cNvPicPr>
          <a:picLocks noChangeAspect="1"/>
        </xdr:cNvPicPr>
      </xdr:nvPicPr>
      <xdr:blipFill>
        <a:blip xmlns:r="http://schemas.openxmlformats.org/officeDocument/2006/relationships" r:embed="rId3"/>
        <a:stretch>
          <a:fillRect/>
        </a:stretch>
      </xdr:blipFill>
      <xdr:spPr>
        <a:xfrm>
          <a:off x="242958" y="4008782"/>
          <a:ext cx="971825" cy="949739"/>
        </a:xfrm>
        <a:prstGeom prst="rect">
          <a:avLst/>
        </a:prstGeom>
      </xdr:spPr>
    </xdr:pic>
    <xdr:clientData/>
  </xdr:oneCellAnchor>
  <xdr:twoCellAnchor editAs="oneCell">
    <xdr:from>
      <xdr:col>0</xdr:col>
      <xdr:colOff>478781</xdr:colOff>
      <xdr:row>13</xdr:row>
      <xdr:rowOff>132521</xdr:rowOff>
    </xdr:from>
    <xdr:to>
      <xdr:col>1</xdr:col>
      <xdr:colOff>508000</xdr:colOff>
      <xdr:row>19</xdr:row>
      <xdr:rowOff>22087</xdr:rowOff>
    </xdr:to>
    <xdr:pic>
      <xdr:nvPicPr>
        <xdr:cNvPr id="31" name="Picture 30" descr="Log Data Icon - Free Transparent PNG Clipart Images Download">
          <a:hlinkClick xmlns:r="http://schemas.openxmlformats.org/officeDocument/2006/relationships" r:id="rId4"/>
          <a:extLst>
            <a:ext uri="{FF2B5EF4-FFF2-40B4-BE49-F238E27FC236}">
              <a16:creationId xmlns:a16="http://schemas.microsoft.com/office/drawing/2014/main" id="{20D2C10C-9268-F404-2A71-F1993769AF4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78781" y="2573130"/>
          <a:ext cx="636610" cy="1027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99391</xdr:colOff>
      <xdr:row>4</xdr:row>
      <xdr:rowOff>55217</xdr:rowOff>
    </xdr:from>
    <xdr:to>
      <xdr:col>7</xdr:col>
      <xdr:colOff>342349</xdr:colOff>
      <xdr:row>13</xdr:row>
      <xdr:rowOff>121478</xdr:rowOff>
    </xdr:to>
    <xdr:sp macro="" textlink="">
      <xdr:nvSpPr>
        <xdr:cNvPr id="32" name="Rectangle 31">
          <a:extLst>
            <a:ext uri="{FF2B5EF4-FFF2-40B4-BE49-F238E27FC236}">
              <a16:creationId xmlns:a16="http://schemas.microsoft.com/office/drawing/2014/main" id="{638DB389-9135-2937-D64A-CA5D7CE23F98}"/>
            </a:ext>
          </a:extLst>
        </xdr:cNvPr>
        <xdr:cNvSpPr/>
      </xdr:nvSpPr>
      <xdr:spPr>
        <a:xfrm>
          <a:off x="1314174" y="806174"/>
          <a:ext cx="3279914" cy="1755913"/>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3200" b="1"/>
            <a:t>Total</a:t>
          </a:r>
          <a:r>
            <a:rPr lang="en-IN" sz="3200" b="1" baseline="0"/>
            <a:t> sales</a:t>
          </a:r>
          <a:endParaRPr lang="en-IN" sz="3200" b="1"/>
        </a:p>
      </xdr:txBody>
    </xdr:sp>
    <xdr:clientData/>
  </xdr:twoCellAnchor>
  <xdr:twoCellAnchor>
    <xdr:from>
      <xdr:col>7</xdr:col>
      <xdr:colOff>331305</xdr:colOff>
      <xdr:row>4</xdr:row>
      <xdr:rowOff>55217</xdr:rowOff>
    </xdr:from>
    <xdr:to>
      <xdr:col>12</xdr:col>
      <xdr:colOff>463826</xdr:colOff>
      <xdr:row>12</xdr:row>
      <xdr:rowOff>143565</xdr:rowOff>
    </xdr:to>
    <xdr:sp macro="" textlink="">
      <xdr:nvSpPr>
        <xdr:cNvPr id="40" name="Rectangle 39">
          <a:extLst>
            <a:ext uri="{FF2B5EF4-FFF2-40B4-BE49-F238E27FC236}">
              <a16:creationId xmlns:a16="http://schemas.microsoft.com/office/drawing/2014/main" id="{AE0DA5C1-3846-6929-86D4-6E9E077BC764}"/>
            </a:ext>
          </a:extLst>
        </xdr:cNvPr>
        <xdr:cNvSpPr/>
      </xdr:nvSpPr>
      <xdr:spPr>
        <a:xfrm>
          <a:off x="4583044" y="806174"/>
          <a:ext cx="3169478" cy="1590261"/>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496957</xdr:colOff>
      <xdr:row>4</xdr:row>
      <xdr:rowOff>55217</xdr:rowOff>
    </xdr:from>
    <xdr:to>
      <xdr:col>18</xdr:col>
      <xdr:colOff>22088</xdr:colOff>
      <xdr:row>12</xdr:row>
      <xdr:rowOff>143565</xdr:rowOff>
    </xdr:to>
    <xdr:sp macro="" textlink="">
      <xdr:nvSpPr>
        <xdr:cNvPr id="41" name="Rectangle 40">
          <a:extLst>
            <a:ext uri="{FF2B5EF4-FFF2-40B4-BE49-F238E27FC236}">
              <a16:creationId xmlns:a16="http://schemas.microsoft.com/office/drawing/2014/main" id="{3045712D-FF39-2331-BE72-2A3470CCD705}"/>
            </a:ext>
          </a:extLst>
        </xdr:cNvPr>
        <xdr:cNvSpPr/>
      </xdr:nvSpPr>
      <xdr:spPr>
        <a:xfrm>
          <a:off x="7785653" y="806174"/>
          <a:ext cx="3169478" cy="1590261"/>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320261</xdr:colOff>
      <xdr:row>4</xdr:row>
      <xdr:rowOff>55217</xdr:rowOff>
    </xdr:from>
    <xdr:to>
      <xdr:col>14</xdr:col>
      <xdr:colOff>44174</xdr:colOff>
      <xdr:row>13</xdr:row>
      <xdr:rowOff>121478</xdr:rowOff>
    </xdr:to>
    <xdr:sp macro="" textlink="">
      <xdr:nvSpPr>
        <xdr:cNvPr id="3" name="Rectangle 2">
          <a:extLst>
            <a:ext uri="{FF2B5EF4-FFF2-40B4-BE49-F238E27FC236}">
              <a16:creationId xmlns:a16="http://schemas.microsoft.com/office/drawing/2014/main" id="{43505FA1-82DD-8625-CF56-63110D0B9E7C}"/>
            </a:ext>
          </a:extLst>
        </xdr:cNvPr>
        <xdr:cNvSpPr/>
      </xdr:nvSpPr>
      <xdr:spPr>
        <a:xfrm>
          <a:off x="4572000" y="806174"/>
          <a:ext cx="3975652" cy="1755913"/>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3200" b="1"/>
            <a:t>Total</a:t>
          </a:r>
          <a:r>
            <a:rPr lang="en-IN" sz="3200" b="1" baseline="0"/>
            <a:t> Purchases</a:t>
          </a:r>
          <a:endParaRPr lang="en-IN" sz="3200" b="1"/>
        </a:p>
      </xdr:txBody>
    </xdr:sp>
    <xdr:clientData/>
  </xdr:twoCellAnchor>
  <xdr:twoCellAnchor>
    <xdr:from>
      <xdr:col>14</xdr:col>
      <xdr:colOff>22087</xdr:colOff>
      <xdr:row>4</xdr:row>
      <xdr:rowOff>55217</xdr:rowOff>
    </xdr:from>
    <xdr:to>
      <xdr:col>19</xdr:col>
      <xdr:colOff>585304</xdr:colOff>
      <xdr:row>13</xdr:row>
      <xdr:rowOff>110434</xdr:rowOff>
    </xdr:to>
    <xdr:sp macro="" textlink="">
      <xdr:nvSpPr>
        <xdr:cNvPr id="4" name="Rectangle 3">
          <a:extLst>
            <a:ext uri="{FF2B5EF4-FFF2-40B4-BE49-F238E27FC236}">
              <a16:creationId xmlns:a16="http://schemas.microsoft.com/office/drawing/2014/main" id="{EA24E28D-1FF4-2EF0-AB13-FEA91F8BA7EC}"/>
            </a:ext>
          </a:extLst>
        </xdr:cNvPr>
        <xdr:cNvSpPr/>
      </xdr:nvSpPr>
      <xdr:spPr>
        <a:xfrm>
          <a:off x="8624957" y="806174"/>
          <a:ext cx="3600173" cy="1744869"/>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3600" b="1"/>
            <a:t>Total</a:t>
          </a:r>
          <a:r>
            <a:rPr lang="en-IN" sz="3600" b="1" baseline="0"/>
            <a:t> Profit</a:t>
          </a:r>
          <a:endParaRPr lang="en-IN" sz="3600" b="1"/>
        </a:p>
      </xdr:txBody>
    </xdr:sp>
    <xdr:clientData/>
  </xdr:twoCellAnchor>
  <xdr:twoCellAnchor>
    <xdr:from>
      <xdr:col>2</xdr:col>
      <xdr:colOff>463827</xdr:colOff>
      <xdr:row>8</xdr:row>
      <xdr:rowOff>22087</xdr:rowOff>
    </xdr:from>
    <xdr:to>
      <xdr:col>5</xdr:col>
      <xdr:colOff>55217</xdr:colOff>
      <xdr:row>11</xdr:row>
      <xdr:rowOff>22087</xdr:rowOff>
    </xdr:to>
    <xdr:sp macro="" textlink="pivot!$B$11">
      <xdr:nvSpPr>
        <xdr:cNvPr id="7" name="TextBox 6">
          <a:extLst>
            <a:ext uri="{FF2B5EF4-FFF2-40B4-BE49-F238E27FC236}">
              <a16:creationId xmlns:a16="http://schemas.microsoft.com/office/drawing/2014/main" id="{19A01751-4DCB-4CCB-A2F7-EDC41FB900E2}"/>
            </a:ext>
          </a:extLst>
        </xdr:cNvPr>
        <xdr:cNvSpPr txBox="1"/>
      </xdr:nvSpPr>
      <xdr:spPr>
        <a:xfrm>
          <a:off x="1678610" y="1524000"/>
          <a:ext cx="1413564" cy="563217"/>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DD3CFD46-C21E-477A-A853-1EFC2A435392}" type="TxLink">
            <a:rPr lang="en-US" sz="2800" b="1" i="0" u="none" strike="noStrike">
              <a:solidFill>
                <a:schemeClr val="bg1"/>
              </a:solidFill>
              <a:latin typeface="Calibri"/>
              <a:ea typeface="Calibri"/>
              <a:cs typeface="Calibri"/>
            </a:rPr>
            <a:pPr/>
            <a:t>2353508</a:t>
          </a:fld>
          <a:endParaRPr lang="en-IN" sz="2800" b="1">
            <a:solidFill>
              <a:schemeClr val="bg1"/>
            </a:solidFill>
          </a:endParaRPr>
        </a:p>
      </xdr:txBody>
    </xdr:sp>
    <xdr:clientData/>
  </xdr:twoCellAnchor>
  <xdr:twoCellAnchor>
    <xdr:from>
      <xdr:col>4</xdr:col>
      <xdr:colOff>574261</xdr:colOff>
      <xdr:row>0</xdr:row>
      <xdr:rowOff>0</xdr:rowOff>
    </xdr:from>
    <xdr:to>
      <xdr:col>7</xdr:col>
      <xdr:colOff>596348</xdr:colOff>
      <xdr:row>16</xdr:row>
      <xdr:rowOff>44174</xdr:rowOff>
    </xdr:to>
    <xdr:graphicFrame macro="">
      <xdr:nvGraphicFramePr>
        <xdr:cNvPr id="8" name="Chart 7">
          <a:extLst>
            <a:ext uri="{FF2B5EF4-FFF2-40B4-BE49-F238E27FC236}">
              <a16:creationId xmlns:a16="http://schemas.microsoft.com/office/drawing/2014/main" id="{65780D7F-C8BF-482A-9F8A-66E63D0A7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375477</xdr:colOff>
      <xdr:row>5</xdr:row>
      <xdr:rowOff>125393</xdr:rowOff>
    </xdr:from>
    <xdr:to>
      <xdr:col>15</xdr:col>
      <xdr:colOff>106100</xdr:colOff>
      <xdr:row>18</xdr:row>
      <xdr:rowOff>0</xdr:rowOff>
    </xdr:to>
    <xdr:graphicFrame macro="">
      <xdr:nvGraphicFramePr>
        <xdr:cNvPr id="10" name="Chart 9">
          <a:extLst>
            <a:ext uri="{FF2B5EF4-FFF2-40B4-BE49-F238E27FC236}">
              <a16:creationId xmlns:a16="http://schemas.microsoft.com/office/drawing/2014/main" id="{05EF9894-3C4A-49C3-B8AD-7A3D00CB7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187740</xdr:colOff>
      <xdr:row>0</xdr:row>
      <xdr:rowOff>0</xdr:rowOff>
    </xdr:from>
    <xdr:to>
      <xdr:col>20</xdr:col>
      <xdr:colOff>154609</xdr:colOff>
      <xdr:row>18</xdr:row>
      <xdr:rowOff>22087</xdr:rowOff>
    </xdr:to>
    <xdr:graphicFrame macro="">
      <xdr:nvGraphicFramePr>
        <xdr:cNvPr id="12" name="Chart 11">
          <a:extLst>
            <a:ext uri="{FF2B5EF4-FFF2-40B4-BE49-F238E27FC236}">
              <a16:creationId xmlns:a16="http://schemas.microsoft.com/office/drawing/2014/main" id="{8240E042-1B43-45C0-922C-9259386CE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22089</xdr:colOff>
      <xdr:row>8</xdr:row>
      <xdr:rowOff>22087</xdr:rowOff>
    </xdr:from>
    <xdr:to>
      <xdr:col>10</xdr:col>
      <xdr:colOff>220870</xdr:colOff>
      <xdr:row>11</xdr:row>
      <xdr:rowOff>22087</xdr:rowOff>
    </xdr:to>
    <xdr:sp macro="" textlink="pivot!$E$11">
      <xdr:nvSpPr>
        <xdr:cNvPr id="18" name="TextBox 17">
          <a:extLst>
            <a:ext uri="{FF2B5EF4-FFF2-40B4-BE49-F238E27FC236}">
              <a16:creationId xmlns:a16="http://schemas.microsoft.com/office/drawing/2014/main" id="{67C560F1-FD8F-10AC-5FCB-C3B127DD5024}"/>
            </a:ext>
          </a:extLst>
        </xdr:cNvPr>
        <xdr:cNvSpPr txBox="1"/>
      </xdr:nvSpPr>
      <xdr:spPr>
        <a:xfrm>
          <a:off x="4881219" y="1524000"/>
          <a:ext cx="1413564" cy="563217"/>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4E518B7B-3E0E-4CB7-8464-6EE8F8121F6B}" type="TxLink">
            <a:rPr lang="en-US" sz="2800" b="0" i="0" u="none" strike="noStrike">
              <a:solidFill>
                <a:schemeClr val="bg1"/>
              </a:solidFill>
              <a:latin typeface="Calibri"/>
              <a:ea typeface="Calibri"/>
              <a:cs typeface="Calibri"/>
            </a:rPr>
            <a:pPr/>
            <a:t>1356702</a:t>
          </a:fld>
          <a:endParaRPr lang="en-IN" sz="2800" b="1">
            <a:solidFill>
              <a:schemeClr val="bg1"/>
            </a:solidFill>
          </a:endParaRPr>
        </a:p>
      </xdr:txBody>
    </xdr:sp>
    <xdr:clientData/>
  </xdr:twoCellAnchor>
  <xdr:twoCellAnchor>
    <xdr:from>
      <xdr:col>14</xdr:col>
      <xdr:colOff>375479</xdr:colOff>
      <xdr:row>7</xdr:row>
      <xdr:rowOff>121478</xdr:rowOff>
    </xdr:from>
    <xdr:to>
      <xdr:col>16</xdr:col>
      <xdr:colOff>585305</xdr:colOff>
      <xdr:row>10</xdr:row>
      <xdr:rowOff>121478</xdr:rowOff>
    </xdr:to>
    <xdr:sp macro="" textlink="pivot!$I$11">
      <xdr:nvSpPr>
        <xdr:cNvPr id="19" name="TextBox 18">
          <a:extLst>
            <a:ext uri="{FF2B5EF4-FFF2-40B4-BE49-F238E27FC236}">
              <a16:creationId xmlns:a16="http://schemas.microsoft.com/office/drawing/2014/main" id="{EA6F24EE-1F02-DFA4-E212-E5BCBBAAF1DB}"/>
            </a:ext>
          </a:extLst>
        </xdr:cNvPr>
        <xdr:cNvSpPr txBox="1"/>
      </xdr:nvSpPr>
      <xdr:spPr>
        <a:xfrm>
          <a:off x="8878957" y="1435652"/>
          <a:ext cx="1424609" cy="563217"/>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26142DF3-9AE8-475B-9C31-E49AA0492BBA}" type="TxLink">
            <a:rPr lang="en-US" sz="2800" b="0" i="0" u="none" strike="noStrike">
              <a:solidFill>
                <a:schemeClr val="bg1"/>
              </a:solidFill>
              <a:latin typeface="Calibri"/>
              <a:ea typeface="Calibri"/>
              <a:cs typeface="Calibri"/>
            </a:rPr>
            <a:pPr/>
            <a:t>996806</a:t>
          </a:fld>
          <a:endParaRPr lang="en-IN" sz="2800" b="1">
            <a:solidFill>
              <a:schemeClr val="bg1"/>
            </a:solidFill>
          </a:endParaRPr>
        </a:p>
      </xdr:txBody>
    </xdr:sp>
    <xdr:clientData/>
  </xdr:twoCellAnchor>
  <xdr:twoCellAnchor>
    <xdr:from>
      <xdr:col>2</xdr:col>
      <xdr:colOff>99391</xdr:colOff>
      <xdr:row>13</xdr:row>
      <xdr:rowOff>143565</xdr:rowOff>
    </xdr:from>
    <xdr:to>
      <xdr:col>10</xdr:col>
      <xdr:colOff>596348</xdr:colOff>
      <xdr:row>26</xdr:row>
      <xdr:rowOff>165652</xdr:rowOff>
    </xdr:to>
    <xdr:sp macro="" textlink="">
      <xdr:nvSpPr>
        <xdr:cNvPr id="26" name="Rectangle 25">
          <a:extLst>
            <a:ext uri="{FF2B5EF4-FFF2-40B4-BE49-F238E27FC236}">
              <a16:creationId xmlns:a16="http://schemas.microsoft.com/office/drawing/2014/main" id="{EE4EE2A7-C074-2185-0445-3A0F7EFC0A8D}"/>
            </a:ext>
          </a:extLst>
        </xdr:cNvPr>
        <xdr:cNvSpPr/>
      </xdr:nvSpPr>
      <xdr:spPr>
        <a:xfrm>
          <a:off x="1314174" y="2584174"/>
          <a:ext cx="5455478" cy="2473739"/>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IN" sz="3600" b="1" baseline="0"/>
            <a:t>Month-wise Sales</a:t>
          </a:r>
          <a:endParaRPr lang="en-IN" sz="3600" b="1"/>
        </a:p>
      </xdr:txBody>
    </xdr:sp>
    <xdr:clientData/>
  </xdr:twoCellAnchor>
  <xdr:twoCellAnchor>
    <xdr:from>
      <xdr:col>2</xdr:col>
      <xdr:colOff>121478</xdr:colOff>
      <xdr:row>16</xdr:row>
      <xdr:rowOff>113944</xdr:rowOff>
    </xdr:from>
    <xdr:to>
      <xdr:col>10</xdr:col>
      <xdr:colOff>585304</xdr:colOff>
      <xdr:row>26</xdr:row>
      <xdr:rowOff>163794</xdr:rowOff>
    </xdr:to>
    <xdr:graphicFrame macro="">
      <xdr:nvGraphicFramePr>
        <xdr:cNvPr id="27" name="Chart 26">
          <a:extLst>
            <a:ext uri="{FF2B5EF4-FFF2-40B4-BE49-F238E27FC236}">
              <a16:creationId xmlns:a16="http://schemas.microsoft.com/office/drawing/2014/main" id="{10D4B2D1-12B2-42BD-9764-9881409DA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11044</xdr:colOff>
      <xdr:row>13</xdr:row>
      <xdr:rowOff>143565</xdr:rowOff>
    </xdr:from>
    <xdr:to>
      <xdr:col>20</xdr:col>
      <xdr:colOff>1</xdr:colOff>
      <xdr:row>26</xdr:row>
      <xdr:rowOff>165652</xdr:rowOff>
    </xdr:to>
    <xdr:sp macro="" textlink="">
      <xdr:nvSpPr>
        <xdr:cNvPr id="29" name="Rectangle 28">
          <a:extLst>
            <a:ext uri="{FF2B5EF4-FFF2-40B4-BE49-F238E27FC236}">
              <a16:creationId xmlns:a16="http://schemas.microsoft.com/office/drawing/2014/main" id="{80C02ECE-B00E-2BE0-798A-BC2C32E9C91F}"/>
            </a:ext>
          </a:extLst>
        </xdr:cNvPr>
        <xdr:cNvSpPr/>
      </xdr:nvSpPr>
      <xdr:spPr>
        <a:xfrm>
          <a:off x="6791740" y="2584174"/>
          <a:ext cx="5455478" cy="2473739"/>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3600" b="1"/>
            <a:t>   Product-wise</a:t>
          </a:r>
          <a:r>
            <a:rPr lang="en-IN" sz="3600" b="1" baseline="0"/>
            <a:t> Sales</a:t>
          </a:r>
          <a:endParaRPr lang="en-IN" sz="3600" b="1"/>
        </a:p>
      </xdr:txBody>
    </xdr:sp>
    <xdr:clientData/>
  </xdr:twoCellAnchor>
  <xdr:twoCellAnchor>
    <xdr:from>
      <xdr:col>11</xdr:col>
      <xdr:colOff>38746</xdr:colOff>
      <xdr:row>16</xdr:row>
      <xdr:rowOff>103322</xdr:rowOff>
    </xdr:from>
    <xdr:to>
      <xdr:col>16</xdr:col>
      <xdr:colOff>400373</xdr:colOff>
      <xdr:row>26</xdr:row>
      <xdr:rowOff>151776</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2ADCEBEC-6255-40BA-A2D4-9740788978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843406" y="3044642"/>
              <a:ext cx="3409627" cy="18772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426204</xdr:colOff>
      <xdr:row>16</xdr:row>
      <xdr:rowOff>99701</xdr:rowOff>
    </xdr:from>
    <xdr:to>
      <xdr:col>27</xdr:col>
      <xdr:colOff>426203</xdr:colOff>
      <xdr:row>27</xdr:row>
      <xdr:rowOff>25831</xdr:rowOff>
    </xdr:to>
    <xdr:graphicFrame macro="">
      <xdr:nvGraphicFramePr>
        <xdr:cNvPr id="37" name="Chart 36">
          <a:extLst>
            <a:ext uri="{FF2B5EF4-FFF2-40B4-BE49-F238E27FC236}">
              <a16:creationId xmlns:a16="http://schemas.microsoft.com/office/drawing/2014/main" id="{AC242E33-9CF4-4935-8C78-50E7B493A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-1</xdr:colOff>
      <xdr:row>0</xdr:row>
      <xdr:rowOff>0</xdr:rowOff>
    </xdr:from>
    <xdr:to>
      <xdr:col>28</xdr:col>
      <xdr:colOff>0</xdr:colOff>
      <xdr:row>26</xdr:row>
      <xdr:rowOff>165653</xdr:rowOff>
    </xdr:to>
    <xdr:sp macro="" textlink="">
      <xdr:nvSpPr>
        <xdr:cNvPr id="38" name="Rectangle 37">
          <a:extLst>
            <a:ext uri="{FF2B5EF4-FFF2-40B4-BE49-F238E27FC236}">
              <a16:creationId xmlns:a16="http://schemas.microsoft.com/office/drawing/2014/main" id="{0D4FD9A8-C5DA-4120-FF9C-E20B5B729A99}"/>
            </a:ext>
          </a:extLst>
        </xdr:cNvPr>
        <xdr:cNvSpPr/>
      </xdr:nvSpPr>
      <xdr:spPr>
        <a:xfrm>
          <a:off x="12341411" y="0"/>
          <a:ext cx="4900707" cy="4842241"/>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r>
            <a:rPr lang="en-IN" sz="3600" b="1"/>
            <a:t>   State-wise</a:t>
          </a:r>
          <a:r>
            <a:rPr lang="en-IN" sz="3600" b="1" baseline="0"/>
            <a:t> Sales</a:t>
          </a:r>
          <a:endParaRPr lang="en-IN" sz="3600" b="1"/>
        </a:p>
      </xdr:txBody>
    </xdr:sp>
    <xdr:clientData/>
  </xdr:twoCellAnchor>
  <xdr:twoCellAnchor>
    <xdr:from>
      <xdr:col>20</xdr:col>
      <xdr:colOff>91538</xdr:colOff>
      <xdr:row>3</xdr:row>
      <xdr:rowOff>28936</xdr:rowOff>
    </xdr:from>
    <xdr:to>
      <xdr:col>27</xdr:col>
      <xdr:colOff>558854</xdr:colOff>
      <xdr:row>26</xdr:row>
      <xdr:rowOff>173619</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54954718-6B4D-4678-B910-EFED55570F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2382598" y="577576"/>
              <a:ext cx="4734516" cy="43661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8.701551736114" createdVersion="8" refreshedVersion="8" minRefreshableVersion="3" recordCount="150" xr:uid="{DAA3A919-0B74-48C6-A331-1D609DA4F72A}">
  <cacheSource type="worksheet">
    <worksheetSource ref="A1:L151" sheet="Sales Data"/>
  </cacheSource>
  <cacheFields count="14">
    <cacheField name="Date" numFmtId="164">
      <sharedItems containsSemiMixedTypes="0" containsNonDate="0" containsDate="1" containsString="0" minDate="2024-04-01T00:00:00" maxDate="2024-06-30T00:00:00" count="9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sharedItems>
      <fieldGroup par="13"/>
    </cacheField>
    <cacheField name="Name" numFmtId="0">
      <sharedItems/>
    </cacheField>
    <cacheField name="Category" numFmtId="0">
      <sharedItems count="5">
        <s v="Electronics"/>
        <s v="Automobile"/>
        <s v="Fashion"/>
        <s v="Food"/>
        <s v="Healthcare"/>
      </sharedItems>
    </cacheField>
    <cacheField name="Product Name" numFmtId="0">
      <sharedItems count="25">
        <s v="Speaker"/>
        <s v="Car"/>
        <s v="Accessories"/>
        <s v="Helmet"/>
        <s v="Jeans"/>
        <s v="TV"/>
        <s v="Juice"/>
        <s v="Spices"/>
        <s v="First Aid Kit"/>
        <s v="Health Monitor"/>
        <s v="Tyre"/>
        <s v="Supplements"/>
        <s v="Coffee"/>
        <s v="Women Dress"/>
        <s v="Men Shirt"/>
        <s v="Skincare"/>
        <s v="Biscuits"/>
        <s v="Earbuds"/>
        <s v="Vitamins"/>
        <s v="Bike"/>
        <s v="Shoes"/>
        <s v="Jacket"/>
        <s v="Laptop"/>
        <s v="Smartphone"/>
        <s v="Snacks"/>
      </sharedItems>
    </cacheField>
    <cacheField name="State" numFmtId="0">
      <sharedItems count="15">
        <s v="Andhra Pradesh"/>
        <s v="Bihar"/>
        <s v="Delhi"/>
        <s v="Punjab"/>
        <s v="Maharashtra"/>
        <s v="Karnataka"/>
        <s v="Telangana"/>
        <s v="Madhya Pradesh"/>
        <s v="Tamil Nadu"/>
        <s v="West Bengal"/>
        <s v="Gujarat"/>
        <s v="Haryana"/>
        <s v="Chandigarh"/>
        <s v="Uttar Pradesh"/>
        <s v="Rajasthan"/>
      </sharedItems>
    </cacheField>
    <cacheField name="Gender" numFmtId="0">
      <sharedItems/>
    </cacheField>
    <cacheField name="Quantity" numFmtId="0">
      <sharedItems containsSemiMixedTypes="0" containsString="0" containsNumber="1" containsInteger="1" minValue="10" maxValue="100"/>
    </cacheField>
    <cacheField name="Cost" numFmtId="3">
      <sharedItems containsSemiMixedTypes="0" containsString="0" containsNumber="1" containsInteger="1" minValue="310" maxValue="999"/>
    </cacheField>
    <cacheField name="Price" numFmtId="3">
      <sharedItems containsSemiMixedTypes="0" containsString="0" containsNumber="1" containsInteger="1" minValue="441" maxValue="2126"/>
    </cacheField>
    <cacheField name="Purchase Cost" numFmtId="3">
      <sharedItems containsSemiMixedTypes="0" containsString="0" containsNumber="1" containsInteger="1" minValue="4620" maxValue="91200"/>
    </cacheField>
    <cacheField name="Sale Price" numFmtId="3">
      <sharedItems containsSemiMixedTypes="0" containsString="0" containsNumber="1" containsInteger="1" minValue="6174" maxValue="178577"/>
    </cacheField>
    <cacheField name="Profit" numFmtId="3">
      <sharedItems containsSemiMixedTypes="0" containsString="0" containsNumber="1" containsInteger="1" minValue="1554" maxValue="89919"/>
    </cacheField>
    <cacheField name="Days (Date)" numFmtId="0" databaseField="0">
      <fieldGroup base="0">
        <rangePr groupBy="days" startDate="2024-04-01T00:00:00" endDate="2024-06-30T00:00:00"/>
        <groupItems count="368">
          <s v="&lt;01-04-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024"/>
        </groupItems>
      </fieldGroup>
    </cacheField>
    <cacheField name="Months (Date)" numFmtId="0" databaseField="0">
      <fieldGroup base="0">
        <rangePr groupBy="months" startDate="2024-04-01T00:00:00" endDate="2024-06-30T00:00:00"/>
        <groupItems count="14">
          <s v="&lt;01-04-2024"/>
          <s v="Jan"/>
          <s v="Feb"/>
          <s v="Mar"/>
          <s v="Apr"/>
          <s v="May"/>
          <s v="Jun"/>
          <s v="Jul"/>
          <s v="Aug"/>
          <s v="Sep"/>
          <s v="Oct"/>
          <s v="Nov"/>
          <s v="Dec"/>
          <s v="&gt;30-06-2024"/>
        </groupItems>
      </fieldGroup>
    </cacheField>
  </cacheFields>
  <extLst>
    <ext xmlns:x14="http://schemas.microsoft.com/office/spreadsheetml/2009/9/main" uri="{725AE2AE-9491-48be-B2B4-4EB974FC3084}">
      <x14:pivotCacheDefinition pivotCacheId="225610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s v="Solid Ventures"/>
    <x v="0"/>
    <x v="0"/>
    <x v="0"/>
    <s v="Female"/>
    <n v="41"/>
    <n v="528"/>
    <n v="729"/>
    <n v="21648"/>
    <n v="29889"/>
    <n v="8241"/>
  </r>
  <r>
    <x v="1"/>
    <s v="Mystic India Exports"/>
    <x v="1"/>
    <x v="1"/>
    <x v="1"/>
    <s v="Female"/>
    <n v="14"/>
    <n v="330"/>
    <n v="441"/>
    <n v="4620"/>
    <n v="6174"/>
    <n v="1554"/>
  </r>
  <r>
    <x v="2"/>
    <s v="Harmony Foods"/>
    <x v="1"/>
    <x v="2"/>
    <x v="2"/>
    <s v="Male"/>
    <n v="93"/>
    <n v="858"/>
    <n v="1414"/>
    <n v="79794"/>
    <n v="131502"/>
    <n v="51708"/>
  </r>
  <r>
    <x v="3"/>
    <s v="Sacred Roots Apparel"/>
    <x v="1"/>
    <x v="3"/>
    <x v="3"/>
    <s v="Male"/>
    <n v="30"/>
    <n v="732"/>
    <n v="1151"/>
    <n v="21960"/>
    <n v="34530"/>
    <n v="12570"/>
  </r>
  <r>
    <x v="4"/>
    <s v="Golden Horizon Ventures"/>
    <x v="2"/>
    <x v="4"/>
    <x v="4"/>
    <s v="Male"/>
    <n v="58"/>
    <n v="399"/>
    <n v="634"/>
    <n v="23142"/>
    <n v="36772"/>
    <n v="13630"/>
  </r>
  <r>
    <x v="5"/>
    <s v="Divine Creations"/>
    <x v="1"/>
    <x v="3"/>
    <x v="3"/>
    <s v="Male"/>
    <n v="68"/>
    <n v="849"/>
    <n v="1161"/>
    <n v="57732"/>
    <n v="78948"/>
    <n v="21216"/>
  </r>
  <r>
    <x v="6"/>
    <s v="Metro Tech Solutions"/>
    <x v="0"/>
    <x v="5"/>
    <x v="5"/>
    <s v="Female"/>
    <n v="83"/>
    <n v="496"/>
    <n v="951"/>
    <n v="41168"/>
    <n v="78933"/>
    <n v="37765"/>
  </r>
  <r>
    <x v="7"/>
    <s v="Green Leaf Enterprises"/>
    <x v="2"/>
    <x v="4"/>
    <x v="4"/>
    <s v="Male"/>
    <n v="22"/>
    <n v="689"/>
    <n v="1043"/>
    <n v="15158"/>
    <n v="22946"/>
    <n v="7788"/>
  </r>
  <r>
    <x v="8"/>
    <s v="Solid Ventures"/>
    <x v="3"/>
    <x v="6"/>
    <x v="6"/>
    <s v="Female"/>
    <n v="36"/>
    <n v="986"/>
    <n v="1482"/>
    <n v="35496"/>
    <n v="53352"/>
    <n v="17856"/>
  </r>
  <r>
    <x v="9"/>
    <s v="Prestige Automobiles"/>
    <x v="0"/>
    <x v="5"/>
    <x v="7"/>
    <s v="Male"/>
    <n v="78"/>
    <n v="550"/>
    <n v="772"/>
    <n v="42900"/>
    <n v="60216"/>
    <n v="17316"/>
  </r>
  <r>
    <x v="10"/>
    <s v="Metro Tech Solutions"/>
    <x v="3"/>
    <x v="7"/>
    <x v="8"/>
    <s v="Female"/>
    <n v="17"/>
    <n v="534"/>
    <n v="1084"/>
    <n v="9078"/>
    <n v="18428"/>
    <n v="9350"/>
  </r>
  <r>
    <x v="11"/>
    <s v="Radiant Health Systems"/>
    <x v="4"/>
    <x v="8"/>
    <x v="4"/>
    <s v="Male"/>
    <n v="82"/>
    <n v="622"/>
    <n v="903"/>
    <n v="51004"/>
    <n v="74046"/>
    <n v="23042"/>
  </r>
  <r>
    <x v="12"/>
    <s v="Quantum Finance Services"/>
    <x v="4"/>
    <x v="9"/>
    <x v="9"/>
    <s v="Female"/>
    <n v="27"/>
    <n v="552"/>
    <n v="1080"/>
    <n v="14904"/>
    <n v="29160"/>
    <n v="14256"/>
  </r>
  <r>
    <x v="13"/>
    <s v="Visionary Holdings"/>
    <x v="3"/>
    <x v="7"/>
    <x v="10"/>
    <s v="Female"/>
    <n v="56"/>
    <n v="524"/>
    <n v="1151"/>
    <n v="29344"/>
    <n v="64456"/>
    <n v="35112"/>
  </r>
  <r>
    <x v="14"/>
    <s v="Golden Horizon Ventures"/>
    <x v="1"/>
    <x v="10"/>
    <x v="4"/>
    <s v="Male"/>
    <n v="24"/>
    <n v="456"/>
    <n v="841"/>
    <n v="10944"/>
    <n v="20184"/>
    <n v="9240"/>
  </r>
  <r>
    <x v="15"/>
    <s v="Prestige Automobiles"/>
    <x v="4"/>
    <x v="11"/>
    <x v="4"/>
    <s v="Female"/>
    <n v="58"/>
    <n v="910"/>
    <n v="1998"/>
    <n v="52780"/>
    <n v="115884"/>
    <n v="63104"/>
  </r>
  <r>
    <x v="16"/>
    <s v="Brilliant Minds Academy"/>
    <x v="3"/>
    <x v="7"/>
    <x v="11"/>
    <s v="Male"/>
    <n v="97"/>
    <n v="417"/>
    <n v="791"/>
    <n v="40449"/>
    <n v="76727"/>
    <n v="36278"/>
  </r>
  <r>
    <x v="17"/>
    <s v="Visionary Holdings"/>
    <x v="3"/>
    <x v="12"/>
    <x v="4"/>
    <s v="Female"/>
    <n v="65"/>
    <n v="461"/>
    <n v="774"/>
    <n v="29965"/>
    <n v="50310"/>
    <n v="20345"/>
  </r>
  <r>
    <x v="18"/>
    <s v="Natural Bliss Beverages"/>
    <x v="3"/>
    <x v="7"/>
    <x v="3"/>
    <s v="Male"/>
    <n v="74"/>
    <n v="408"/>
    <n v="847"/>
    <n v="30192"/>
    <n v="62678"/>
    <n v="32486"/>
  </r>
  <r>
    <x v="19"/>
    <s v="Zenith Construction Co."/>
    <x v="1"/>
    <x v="2"/>
    <x v="8"/>
    <s v="Male"/>
    <n v="57"/>
    <n v="465"/>
    <n v="819"/>
    <n v="26505"/>
    <n v="46683"/>
    <n v="20178"/>
  </r>
  <r>
    <x v="20"/>
    <s v="Brilliant Minds Academy"/>
    <x v="0"/>
    <x v="5"/>
    <x v="6"/>
    <s v="Female"/>
    <n v="12"/>
    <n v="414"/>
    <n v="882"/>
    <n v="4968"/>
    <n v="10584"/>
    <n v="5616"/>
  </r>
  <r>
    <x v="21"/>
    <s v="Zenith Construction Co."/>
    <x v="2"/>
    <x v="13"/>
    <x v="8"/>
    <s v="Male"/>
    <n v="20"/>
    <n v="797"/>
    <n v="1614"/>
    <n v="15940"/>
    <n v="32280"/>
    <n v="16340"/>
  </r>
  <r>
    <x v="22"/>
    <s v="Visionary Holdings"/>
    <x v="2"/>
    <x v="14"/>
    <x v="7"/>
    <s v="Female"/>
    <n v="80"/>
    <n v="469"/>
    <n v="704"/>
    <n v="37520"/>
    <n v="56320"/>
    <n v="18800"/>
  </r>
  <r>
    <x v="23"/>
    <s v="Classic Cultures"/>
    <x v="4"/>
    <x v="15"/>
    <x v="12"/>
    <s v="Male"/>
    <n v="49"/>
    <n v="708"/>
    <n v="1554"/>
    <n v="34692"/>
    <n v="76146"/>
    <n v="41454"/>
  </r>
  <r>
    <x v="24"/>
    <s v="Solid Ventures"/>
    <x v="3"/>
    <x v="16"/>
    <x v="12"/>
    <s v="Female"/>
    <n v="25"/>
    <n v="553"/>
    <n v="809"/>
    <n v="13825"/>
    <n v="20225"/>
    <n v="6400"/>
  </r>
  <r>
    <x v="25"/>
    <s v="Radiant Health Systems"/>
    <x v="0"/>
    <x v="5"/>
    <x v="13"/>
    <s v="Male"/>
    <n v="85"/>
    <n v="525"/>
    <n v="659"/>
    <n v="44625"/>
    <n v="56015"/>
    <n v="11390"/>
  </r>
  <r>
    <x v="26"/>
    <s v="Elite Marketing Solutions"/>
    <x v="0"/>
    <x v="17"/>
    <x v="4"/>
    <s v="Male"/>
    <n v="52"/>
    <n v="372"/>
    <n v="646"/>
    <n v="19344"/>
    <n v="33592"/>
    <n v="14248"/>
  </r>
  <r>
    <x v="27"/>
    <s v="Pure Essence Skincare"/>
    <x v="4"/>
    <x v="15"/>
    <x v="13"/>
    <s v="Male"/>
    <n v="83"/>
    <n v="890"/>
    <n v="1512"/>
    <n v="73870"/>
    <n v="125496"/>
    <n v="51626"/>
  </r>
  <r>
    <x v="28"/>
    <s v="Quantum Finance Services"/>
    <x v="4"/>
    <x v="15"/>
    <x v="4"/>
    <s v="Male"/>
    <n v="94"/>
    <n v="741"/>
    <n v="1175"/>
    <n v="69654"/>
    <n v="110450"/>
    <n v="40796"/>
  </r>
  <r>
    <x v="29"/>
    <s v="TruePath Logistics"/>
    <x v="4"/>
    <x v="18"/>
    <x v="7"/>
    <s v="Male"/>
    <n v="17"/>
    <n v="712"/>
    <n v="1382"/>
    <n v="12104"/>
    <n v="23494"/>
    <n v="11390"/>
  </r>
  <r>
    <x v="30"/>
    <s v="Mystic India Exports"/>
    <x v="2"/>
    <x v="14"/>
    <x v="8"/>
    <s v="Female"/>
    <n v="27"/>
    <n v="732"/>
    <n v="1042"/>
    <n v="19764"/>
    <n v="28134"/>
    <n v="8370"/>
  </r>
  <r>
    <x v="31"/>
    <s v="Sacred Roots Apparel"/>
    <x v="2"/>
    <x v="13"/>
    <x v="14"/>
    <s v="Male"/>
    <n v="16"/>
    <n v="967"/>
    <n v="2126"/>
    <n v="15472"/>
    <n v="34016"/>
    <n v="18544"/>
  </r>
  <r>
    <x v="32"/>
    <s v="Bharat Innovations"/>
    <x v="0"/>
    <x v="17"/>
    <x v="9"/>
    <s v="Female"/>
    <n v="72"/>
    <n v="792"/>
    <n v="1150"/>
    <n v="57024"/>
    <n v="82800"/>
    <n v="25776"/>
  </r>
  <r>
    <x v="33"/>
    <s v="Metro Tech Solutions"/>
    <x v="0"/>
    <x v="17"/>
    <x v="10"/>
    <s v="Male"/>
    <n v="59"/>
    <n v="571"/>
    <n v="1216"/>
    <n v="33689"/>
    <n v="71744"/>
    <n v="38055"/>
  </r>
  <r>
    <x v="34"/>
    <s v="Sacred Roots Apparel"/>
    <x v="3"/>
    <x v="16"/>
    <x v="0"/>
    <s v="Female"/>
    <n v="29"/>
    <n v="494"/>
    <n v="756"/>
    <n v="14326"/>
    <n v="21924"/>
    <n v="7598"/>
  </r>
  <r>
    <x v="35"/>
    <s v="Green Leaf Enterprises"/>
    <x v="1"/>
    <x v="2"/>
    <x v="2"/>
    <s v="Female"/>
    <n v="17"/>
    <n v="351"/>
    <n v="633"/>
    <n v="5967"/>
    <n v="10761"/>
    <n v="4794"/>
  </r>
  <r>
    <x v="36"/>
    <s v="Brilliant Minds Academy"/>
    <x v="1"/>
    <x v="19"/>
    <x v="2"/>
    <s v="Male"/>
    <n v="33"/>
    <n v="370"/>
    <n v="671"/>
    <n v="12210"/>
    <n v="22143"/>
    <n v="9933"/>
  </r>
  <r>
    <x v="37"/>
    <s v="Prestige Automobiles"/>
    <x v="2"/>
    <x v="20"/>
    <x v="4"/>
    <s v="Male"/>
    <n v="84"/>
    <n v="908"/>
    <n v="1169"/>
    <n v="76272"/>
    <n v="98196"/>
    <n v="21924"/>
  </r>
  <r>
    <x v="38"/>
    <s v="Urban Pulse Technologies"/>
    <x v="4"/>
    <x v="11"/>
    <x v="1"/>
    <s v="Female"/>
    <n v="43"/>
    <n v="509"/>
    <n v="960"/>
    <n v="21887"/>
    <n v="41280"/>
    <n v="19393"/>
  </r>
  <r>
    <x v="39"/>
    <s v="Radiant Health Systems"/>
    <x v="2"/>
    <x v="4"/>
    <x v="10"/>
    <s v="Male"/>
    <n v="95"/>
    <n v="960"/>
    <n v="1473"/>
    <n v="91200"/>
    <n v="139935"/>
    <n v="48735"/>
  </r>
  <r>
    <x v="40"/>
    <s v="Radiant Health Systems"/>
    <x v="0"/>
    <x v="0"/>
    <x v="14"/>
    <s v="Male"/>
    <n v="19"/>
    <n v="850"/>
    <n v="1234"/>
    <n v="16150"/>
    <n v="23446"/>
    <n v="7296"/>
  </r>
  <r>
    <x v="41"/>
    <s v="Pure Essence Skincare"/>
    <x v="2"/>
    <x v="4"/>
    <x v="12"/>
    <s v="Male"/>
    <n v="41"/>
    <n v="678"/>
    <n v="1031"/>
    <n v="27798"/>
    <n v="42271"/>
    <n v="14473"/>
  </r>
  <r>
    <x v="42"/>
    <s v="Sacred Roots Apparel"/>
    <x v="1"/>
    <x v="3"/>
    <x v="1"/>
    <s v="Male"/>
    <n v="95"/>
    <n v="867"/>
    <n v="1330"/>
    <n v="82365"/>
    <n v="126350"/>
    <n v="43985"/>
  </r>
  <r>
    <x v="43"/>
    <s v="Prestige Automobiles"/>
    <x v="0"/>
    <x v="17"/>
    <x v="5"/>
    <s v="Male"/>
    <n v="23"/>
    <n v="866"/>
    <n v="1210"/>
    <n v="19918"/>
    <n v="27830"/>
    <n v="7912"/>
  </r>
  <r>
    <x v="44"/>
    <s v="Zenith Construction Co."/>
    <x v="1"/>
    <x v="19"/>
    <x v="0"/>
    <s v="Female"/>
    <n v="36"/>
    <n v="949"/>
    <n v="1955"/>
    <n v="34164"/>
    <n v="70380"/>
    <n v="36216"/>
  </r>
  <r>
    <x v="45"/>
    <s v="Brilliant Minds Academy"/>
    <x v="4"/>
    <x v="8"/>
    <x v="12"/>
    <s v="Male"/>
    <n v="21"/>
    <n v="949"/>
    <n v="1568"/>
    <n v="19929"/>
    <n v="32928"/>
    <n v="12999"/>
  </r>
  <r>
    <x v="46"/>
    <s v="Pure Essence Skincare"/>
    <x v="0"/>
    <x v="0"/>
    <x v="6"/>
    <s v="Male"/>
    <n v="91"/>
    <n v="568"/>
    <n v="797"/>
    <n v="51688"/>
    <n v="72527"/>
    <n v="20839"/>
  </r>
  <r>
    <x v="47"/>
    <s v="Sacred Roots Apparel"/>
    <x v="1"/>
    <x v="10"/>
    <x v="13"/>
    <s v="Male"/>
    <n v="24"/>
    <n v="377"/>
    <n v="809"/>
    <n v="9048"/>
    <n v="19416"/>
    <n v="10368"/>
  </r>
  <r>
    <x v="48"/>
    <s v="Elite Marketing Solutions"/>
    <x v="2"/>
    <x v="21"/>
    <x v="2"/>
    <s v="Female"/>
    <n v="84"/>
    <n v="865"/>
    <n v="1202"/>
    <n v="72660"/>
    <n v="100968"/>
    <n v="28308"/>
  </r>
  <r>
    <x v="49"/>
    <s v="Golden Horizon Ventures"/>
    <x v="0"/>
    <x v="22"/>
    <x v="6"/>
    <s v="Male"/>
    <n v="55"/>
    <n v="515"/>
    <n v="977"/>
    <n v="28325"/>
    <n v="53735"/>
    <n v="25410"/>
  </r>
  <r>
    <x v="50"/>
    <s v="Prestige Automobiles"/>
    <x v="0"/>
    <x v="22"/>
    <x v="3"/>
    <s v="Female"/>
    <n v="89"/>
    <n v="458"/>
    <n v="975"/>
    <n v="40762"/>
    <n v="86775"/>
    <n v="46013"/>
  </r>
  <r>
    <x v="51"/>
    <s v="Harmony Foods"/>
    <x v="2"/>
    <x v="14"/>
    <x v="12"/>
    <s v="Female"/>
    <n v="13"/>
    <n v="483"/>
    <n v="941"/>
    <n v="6279"/>
    <n v="12233"/>
    <n v="5954"/>
  </r>
  <r>
    <x v="52"/>
    <s v="Radiant Health Systems"/>
    <x v="4"/>
    <x v="15"/>
    <x v="5"/>
    <s v="Male"/>
    <n v="99"/>
    <n v="410"/>
    <n v="661"/>
    <n v="40590"/>
    <n v="65439"/>
    <n v="24849"/>
  </r>
  <r>
    <x v="53"/>
    <s v="Green Leaf Enterprises"/>
    <x v="4"/>
    <x v="15"/>
    <x v="8"/>
    <s v="Female"/>
    <n v="54"/>
    <n v="612"/>
    <n v="1242"/>
    <n v="33048"/>
    <n v="67068"/>
    <n v="34020"/>
  </r>
  <r>
    <x v="54"/>
    <s v="Harmony Foods"/>
    <x v="2"/>
    <x v="13"/>
    <x v="7"/>
    <s v="Male"/>
    <n v="61"/>
    <n v="636"/>
    <n v="963"/>
    <n v="38796"/>
    <n v="58743"/>
    <n v="19947"/>
  </r>
  <r>
    <x v="55"/>
    <s v="Urban Pulse Technologies"/>
    <x v="3"/>
    <x v="12"/>
    <x v="7"/>
    <s v="Female"/>
    <n v="96"/>
    <n v="849"/>
    <n v="1328"/>
    <n v="81504"/>
    <n v="127488"/>
    <n v="45984"/>
  </r>
  <r>
    <x v="56"/>
    <s v="Bharat Innovations"/>
    <x v="0"/>
    <x v="22"/>
    <x v="9"/>
    <s v="Female"/>
    <n v="14"/>
    <n v="411"/>
    <n v="746"/>
    <n v="5754"/>
    <n v="10444"/>
    <n v="4690"/>
  </r>
  <r>
    <x v="57"/>
    <s v="Divine Creations"/>
    <x v="3"/>
    <x v="16"/>
    <x v="1"/>
    <s v="Male"/>
    <n v="59"/>
    <n v="890"/>
    <n v="1273"/>
    <n v="52510"/>
    <n v="75107"/>
    <n v="22597"/>
  </r>
  <r>
    <x v="58"/>
    <s v="Green Leaf Enterprises"/>
    <x v="4"/>
    <x v="18"/>
    <x v="13"/>
    <s v="Male"/>
    <n v="56"/>
    <n v="741"/>
    <n v="975"/>
    <n v="41496"/>
    <n v="54600"/>
    <n v="13104"/>
  </r>
  <r>
    <x v="59"/>
    <s v="Prestige Automobiles"/>
    <x v="3"/>
    <x v="7"/>
    <x v="6"/>
    <s v="Male"/>
    <n v="48"/>
    <n v="819"/>
    <n v="1264"/>
    <n v="39312"/>
    <n v="60672"/>
    <n v="21360"/>
  </r>
  <r>
    <x v="60"/>
    <s v="TruePath Logistics"/>
    <x v="3"/>
    <x v="16"/>
    <x v="0"/>
    <s v="Female"/>
    <n v="80"/>
    <n v="430"/>
    <n v="615"/>
    <n v="34400"/>
    <n v="49200"/>
    <n v="14800"/>
  </r>
  <r>
    <x v="61"/>
    <s v="Prestige Automobiles"/>
    <x v="4"/>
    <x v="15"/>
    <x v="1"/>
    <s v="Female"/>
    <n v="61"/>
    <n v="861"/>
    <n v="1758"/>
    <n v="52521"/>
    <n v="107238"/>
    <n v="54717"/>
  </r>
  <r>
    <x v="62"/>
    <s v="Zenith Construction Co."/>
    <x v="3"/>
    <x v="6"/>
    <x v="10"/>
    <s v="Female"/>
    <n v="69"/>
    <n v="752"/>
    <n v="1255"/>
    <n v="51888"/>
    <n v="86595"/>
    <n v="34707"/>
  </r>
  <r>
    <x v="63"/>
    <s v="Apex Solutions"/>
    <x v="1"/>
    <x v="10"/>
    <x v="3"/>
    <s v="Male"/>
    <n v="94"/>
    <n v="386"/>
    <n v="586"/>
    <n v="36284"/>
    <n v="55084"/>
    <n v="18800"/>
  </r>
  <r>
    <x v="64"/>
    <s v="Prestige Automobiles"/>
    <x v="1"/>
    <x v="3"/>
    <x v="4"/>
    <s v="Male"/>
    <n v="96"/>
    <n v="617"/>
    <n v="902"/>
    <n v="59232"/>
    <n v="86592"/>
    <n v="27360"/>
  </r>
  <r>
    <x v="65"/>
    <s v="Apex Solutions"/>
    <x v="2"/>
    <x v="13"/>
    <x v="2"/>
    <s v="Male"/>
    <n v="70"/>
    <n v="925"/>
    <n v="1902"/>
    <n v="64750"/>
    <n v="133140"/>
    <n v="68390"/>
  </r>
  <r>
    <x v="66"/>
    <s v="Urban Pulse Technologies"/>
    <x v="4"/>
    <x v="9"/>
    <x v="12"/>
    <s v="Male"/>
    <n v="99"/>
    <n v="693"/>
    <n v="1191"/>
    <n v="68607"/>
    <n v="117909"/>
    <n v="49302"/>
  </r>
  <r>
    <x v="67"/>
    <s v="Harmony Foods"/>
    <x v="2"/>
    <x v="13"/>
    <x v="12"/>
    <s v="Male"/>
    <n v="64"/>
    <n v="524"/>
    <n v="742"/>
    <n v="33536"/>
    <n v="47488"/>
    <n v="13952"/>
  </r>
  <r>
    <x v="68"/>
    <s v="Elite Marketing Solutions"/>
    <x v="1"/>
    <x v="10"/>
    <x v="2"/>
    <s v="Male"/>
    <n v="25"/>
    <n v="767"/>
    <n v="1055"/>
    <n v="19175"/>
    <n v="26375"/>
    <n v="7200"/>
  </r>
  <r>
    <x v="69"/>
    <s v="Sacred Roots Apparel"/>
    <x v="1"/>
    <x v="2"/>
    <x v="1"/>
    <s v="Female"/>
    <n v="66"/>
    <n v="927"/>
    <n v="1876"/>
    <n v="61182"/>
    <n v="123816"/>
    <n v="62634"/>
  </r>
  <r>
    <x v="70"/>
    <s v="Brilliant Minds Academy"/>
    <x v="4"/>
    <x v="11"/>
    <x v="14"/>
    <s v="Male"/>
    <n v="70"/>
    <n v="760"/>
    <n v="1137"/>
    <n v="53200"/>
    <n v="79590"/>
    <n v="26390"/>
  </r>
  <r>
    <x v="71"/>
    <s v="Harmony Foods"/>
    <x v="3"/>
    <x v="7"/>
    <x v="14"/>
    <s v="Male"/>
    <n v="45"/>
    <n v="750"/>
    <n v="992"/>
    <n v="33750"/>
    <n v="44640"/>
    <n v="10890"/>
  </r>
  <r>
    <x v="72"/>
    <s v="Zenith Construction Co."/>
    <x v="2"/>
    <x v="4"/>
    <x v="6"/>
    <s v="Female"/>
    <n v="79"/>
    <n v="382"/>
    <n v="527"/>
    <n v="30178"/>
    <n v="41633"/>
    <n v="11455"/>
  </r>
  <r>
    <x v="73"/>
    <s v="Harmony Foods"/>
    <x v="4"/>
    <x v="15"/>
    <x v="0"/>
    <s v="Male"/>
    <n v="18"/>
    <n v="724"/>
    <n v="1185"/>
    <n v="13032"/>
    <n v="21330"/>
    <n v="8298"/>
  </r>
  <r>
    <x v="74"/>
    <s v="Visionary Holdings"/>
    <x v="4"/>
    <x v="9"/>
    <x v="2"/>
    <s v="Male"/>
    <n v="63"/>
    <n v="698"/>
    <n v="1472"/>
    <n v="43974"/>
    <n v="92736"/>
    <n v="48762"/>
  </r>
  <r>
    <x v="75"/>
    <s v="Stellar Design Studio"/>
    <x v="0"/>
    <x v="5"/>
    <x v="10"/>
    <s v="Female"/>
    <n v="10"/>
    <n v="660"/>
    <n v="1012"/>
    <n v="6600"/>
    <n v="10120"/>
    <n v="3520"/>
  </r>
  <r>
    <x v="76"/>
    <s v="Metro Tech Solutions"/>
    <x v="4"/>
    <x v="11"/>
    <x v="0"/>
    <s v="Male"/>
    <n v="72"/>
    <n v="524"/>
    <n v="790"/>
    <n v="37728"/>
    <n v="56880"/>
    <n v="19152"/>
  </r>
  <r>
    <x v="77"/>
    <s v="Quantum Finance Services"/>
    <x v="0"/>
    <x v="23"/>
    <x v="6"/>
    <s v="Female"/>
    <n v="31"/>
    <n v="778"/>
    <n v="1652"/>
    <n v="24118"/>
    <n v="51212"/>
    <n v="27094"/>
  </r>
  <r>
    <x v="78"/>
    <s v="Classic Cultures"/>
    <x v="1"/>
    <x v="1"/>
    <x v="12"/>
    <s v="Female"/>
    <n v="85"/>
    <n v="877"/>
    <n v="1648"/>
    <n v="74545"/>
    <n v="140080"/>
    <n v="65535"/>
  </r>
  <r>
    <x v="79"/>
    <s v="Urban Pulse Technologies"/>
    <x v="4"/>
    <x v="15"/>
    <x v="11"/>
    <s v="Female"/>
    <n v="33"/>
    <n v="351"/>
    <n v="525"/>
    <n v="11583"/>
    <n v="17325"/>
    <n v="5742"/>
  </r>
  <r>
    <x v="80"/>
    <s v="Radiant Health Systems"/>
    <x v="2"/>
    <x v="20"/>
    <x v="6"/>
    <s v="Female"/>
    <n v="58"/>
    <n v="584"/>
    <n v="1147"/>
    <n v="33872"/>
    <n v="66526"/>
    <n v="32654"/>
  </r>
  <r>
    <x v="81"/>
    <s v="TruePath Logistics"/>
    <x v="3"/>
    <x v="24"/>
    <x v="14"/>
    <s v="Male"/>
    <n v="79"/>
    <n v="353"/>
    <n v="776"/>
    <n v="27887"/>
    <n v="61304"/>
    <n v="33417"/>
  </r>
  <r>
    <x v="82"/>
    <s v="Divine Creations"/>
    <x v="2"/>
    <x v="13"/>
    <x v="3"/>
    <s v="Male"/>
    <n v="13"/>
    <n v="553"/>
    <n v="795"/>
    <n v="7189"/>
    <n v="10335"/>
    <n v="3146"/>
  </r>
  <r>
    <x v="83"/>
    <s v="Bharat Innovations"/>
    <x v="1"/>
    <x v="19"/>
    <x v="8"/>
    <s v="Male"/>
    <n v="70"/>
    <n v="985"/>
    <n v="1338"/>
    <n v="68950"/>
    <n v="93660"/>
    <n v="24710"/>
  </r>
  <r>
    <x v="84"/>
    <s v="Apex Solutions"/>
    <x v="4"/>
    <x v="8"/>
    <x v="3"/>
    <s v="Female"/>
    <n v="31"/>
    <n v="920"/>
    <n v="1680"/>
    <n v="28520"/>
    <n v="52080"/>
    <n v="23560"/>
  </r>
  <r>
    <x v="85"/>
    <s v="Natural Bliss Beverages"/>
    <x v="0"/>
    <x v="17"/>
    <x v="5"/>
    <s v="Male"/>
    <n v="84"/>
    <n v="326"/>
    <n v="695"/>
    <n v="27384"/>
    <n v="58380"/>
    <n v="30996"/>
  </r>
  <r>
    <x v="86"/>
    <s v="Stellar Design Studio"/>
    <x v="4"/>
    <x v="9"/>
    <x v="0"/>
    <s v="Male"/>
    <n v="19"/>
    <n v="906"/>
    <n v="1726"/>
    <n v="17214"/>
    <n v="32794"/>
    <n v="15580"/>
  </r>
  <r>
    <x v="87"/>
    <s v="Solid Ventures"/>
    <x v="2"/>
    <x v="13"/>
    <x v="0"/>
    <s v="Female"/>
    <n v="97"/>
    <n v="914"/>
    <n v="1841"/>
    <n v="88658"/>
    <n v="178577"/>
    <n v="89919"/>
  </r>
  <r>
    <x v="88"/>
    <s v="Stellar Design Studio"/>
    <x v="0"/>
    <x v="22"/>
    <x v="13"/>
    <s v="Female"/>
    <n v="94"/>
    <n v="679"/>
    <n v="893"/>
    <n v="63826"/>
    <n v="83942"/>
    <n v="20116"/>
  </r>
  <r>
    <x v="89"/>
    <s v="Solid Ventures"/>
    <x v="3"/>
    <x v="24"/>
    <x v="11"/>
    <s v="Female"/>
    <n v="72"/>
    <n v="408"/>
    <n v="678"/>
    <n v="29376"/>
    <n v="48816"/>
    <n v="19440"/>
  </r>
  <r>
    <x v="0"/>
    <s v="Divine Creations"/>
    <x v="4"/>
    <x v="15"/>
    <x v="10"/>
    <s v="Male"/>
    <n v="76"/>
    <n v="966"/>
    <n v="1455"/>
    <n v="73416"/>
    <n v="110580"/>
    <n v="37164"/>
  </r>
  <r>
    <x v="1"/>
    <s v="Visionary Holdings"/>
    <x v="4"/>
    <x v="9"/>
    <x v="10"/>
    <s v="Female"/>
    <n v="51"/>
    <n v="551"/>
    <n v="1123"/>
    <n v="28101"/>
    <n v="57273"/>
    <n v="29172"/>
  </r>
  <r>
    <x v="2"/>
    <s v="Urban Pulse Technologies"/>
    <x v="3"/>
    <x v="16"/>
    <x v="8"/>
    <s v="Female"/>
    <n v="82"/>
    <n v="924"/>
    <n v="1741"/>
    <n v="75768"/>
    <n v="142762"/>
    <n v="66994"/>
  </r>
  <r>
    <x v="3"/>
    <s v="Radiant Health Systems"/>
    <x v="0"/>
    <x v="23"/>
    <x v="11"/>
    <s v="Female"/>
    <n v="33"/>
    <n v="799"/>
    <n v="1159"/>
    <n v="26367"/>
    <n v="38247"/>
    <n v="11880"/>
  </r>
  <r>
    <x v="4"/>
    <s v="Pure Essence Skincare"/>
    <x v="3"/>
    <x v="12"/>
    <x v="12"/>
    <s v="Female"/>
    <n v="81"/>
    <n v="310"/>
    <n v="539"/>
    <n v="25110"/>
    <n v="43659"/>
    <n v="18549"/>
  </r>
  <r>
    <x v="5"/>
    <s v="Apex Solutions"/>
    <x v="0"/>
    <x v="17"/>
    <x v="0"/>
    <s v="Female"/>
    <n v="72"/>
    <n v="868"/>
    <n v="1710"/>
    <n v="62496"/>
    <n v="123120"/>
    <n v="60624"/>
  </r>
  <r>
    <x v="6"/>
    <s v="Elite Marketing Solutions"/>
    <x v="4"/>
    <x v="9"/>
    <x v="14"/>
    <s v="Male"/>
    <n v="21"/>
    <n v="601"/>
    <n v="877"/>
    <n v="12621"/>
    <n v="18417"/>
    <n v="5796"/>
  </r>
  <r>
    <x v="7"/>
    <s v="Elite Marketing Solutions"/>
    <x v="2"/>
    <x v="4"/>
    <x v="7"/>
    <s v="Female"/>
    <n v="70"/>
    <n v="866"/>
    <n v="1519"/>
    <n v="60620"/>
    <n v="106330"/>
    <n v="45710"/>
  </r>
  <r>
    <x v="8"/>
    <s v="TruePath Logistics"/>
    <x v="1"/>
    <x v="3"/>
    <x v="6"/>
    <s v="Female"/>
    <n v="44"/>
    <n v="613"/>
    <n v="912"/>
    <n v="26972"/>
    <n v="40128"/>
    <n v="13156"/>
  </r>
  <r>
    <x v="9"/>
    <s v="Mystic India Exports"/>
    <x v="2"/>
    <x v="4"/>
    <x v="4"/>
    <s v="Male"/>
    <n v="34"/>
    <n v="521"/>
    <n v="1016"/>
    <n v="17714"/>
    <n v="34544"/>
    <n v="16830"/>
  </r>
  <r>
    <x v="10"/>
    <s v="Pure Essence Skincare"/>
    <x v="1"/>
    <x v="2"/>
    <x v="1"/>
    <s v="Female"/>
    <n v="22"/>
    <n v="498"/>
    <n v="762"/>
    <n v="10956"/>
    <n v="16764"/>
    <n v="5808"/>
  </r>
  <r>
    <x v="11"/>
    <s v="Divine Creations"/>
    <x v="2"/>
    <x v="4"/>
    <x v="2"/>
    <s v="Male"/>
    <n v="45"/>
    <n v="346"/>
    <n v="752"/>
    <n v="15570"/>
    <n v="33840"/>
    <n v="18270"/>
  </r>
  <r>
    <x v="12"/>
    <s v="Visionary Holdings"/>
    <x v="3"/>
    <x v="6"/>
    <x v="7"/>
    <s v="Female"/>
    <n v="23"/>
    <n v="312"/>
    <n v="560"/>
    <n v="7176"/>
    <n v="12880"/>
    <n v="5704"/>
  </r>
  <r>
    <x v="13"/>
    <s v="Quantum Finance Services"/>
    <x v="4"/>
    <x v="9"/>
    <x v="6"/>
    <s v="Male"/>
    <n v="16"/>
    <n v="558"/>
    <n v="1196"/>
    <n v="8928"/>
    <n v="19136"/>
    <n v="10208"/>
  </r>
  <r>
    <x v="14"/>
    <s v="Quantum Finance Services"/>
    <x v="0"/>
    <x v="0"/>
    <x v="10"/>
    <s v="Female"/>
    <n v="19"/>
    <n v="890"/>
    <n v="1644"/>
    <n v="16910"/>
    <n v="31236"/>
    <n v="14326"/>
  </r>
  <r>
    <x v="15"/>
    <s v="Green Leaf Enterprises"/>
    <x v="2"/>
    <x v="14"/>
    <x v="3"/>
    <s v="Female"/>
    <n v="20"/>
    <n v="554"/>
    <n v="754"/>
    <n v="11080"/>
    <n v="15080"/>
    <n v="4000"/>
  </r>
  <r>
    <x v="16"/>
    <s v="TruePath Logistics"/>
    <x v="1"/>
    <x v="2"/>
    <x v="3"/>
    <s v="Male"/>
    <n v="76"/>
    <n v="689"/>
    <n v="1156"/>
    <n v="52364"/>
    <n v="87856"/>
    <n v="35492"/>
  </r>
  <r>
    <x v="17"/>
    <s v="Sacred Roots Apparel"/>
    <x v="3"/>
    <x v="7"/>
    <x v="10"/>
    <s v="Female"/>
    <n v="82"/>
    <n v="935"/>
    <n v="1222"/>
    <n v="76670"/>
    <n v="100204"/>
    <n v="23534"/>
  </r>
  <r>
    <x v="18"/>
    <s v="Natural Bliss Beverages"/>
    <x v="0"/>
    <x v="17"/>
    <x v="7"/>
    <s v="Male"/>
    <n v="43"/>
    <n v="976"/>
    <n v="1295"/>
    <n v="41968"/>
    <n v="55685"/>
    <n v="13717"/>
  </r>
  <r>
    <x v="19"/>
    <s v="Harmony Foods"/>
    <x v="2"/>
    <x v="21"/>
    <x v="4"/>
    <s v="Male"/>
    <n v="10"/>
    <n v="718"/>
    <n v="1204"/>
    <n v="7180"/>
    <n v="12040"/>
    <n v="4860"/>
  </r>
  <r>
    <x v="20"/>
    <s v="Classic Cultures"/>
    <x v="4"/>
    <x v="8"/>
    <x v="2"/>
    <s v="Male"/>
    <n v="46"/>
    <n v="589"/>
    <n v="1129"/>
    <n v="27094"/>
    <n v="51934"/>
    <n v="24840"/>
  </r>
  <r>
    <x v="21"/>
    <s v="Sacred Roots Apparel"/>
    <x v="0"/>
    <x v="17"/>
    <x v="12"/>
    <s v="Female"/>
    <n v="90"/>
    <n v="903"/>
    <n v="1695"/>
    <n v="81270"/>
    <n v="152550"/>
    <n v="71280"/>
  </r>
  <r>
    <x v="22"/>
    <s v="Apex Solutions"/>
    <x v="4"/>
    <x v="18"/>
    <x v="13"/>
    <s v="Male"/>
    <n v="92"/>
    <n v="452"/>
    <n v="955"/>
    <n v="41584"/>
    <n v="87860"/>
    <n v="46276"/>
  </r>
  <r>
    <x v="23"/>
    <s v="Golden Horizon Ventures"/>
    <x v="0"/>
    <x v="0"/>
    <x v="9"/>
    <s v="Female"/>
    <n v="86"/>
    <n v="882"/>
    <n v="1874"/>
    <n v="75852"/>
    <n v="161164"/>
    <n v="85312"/>
  </r>
  <r>
    <x v="24"/>
    <s v="Sacred Roots Apparel"/>
    <x v="0"/>
    <x v="23"/>
    <x v="0"/>
    <s v="Female"/>
    <n v="99"/>
    <n v="712"/>
    <n v="1527"/>
    <n v="70488"/>
    <n v="151173"/>
    <n v="80685"/>
  </r>
  <r>
    <x v="25"/>
    <s v="Brilliant Minds Academy"/>
    <x v="1"/>
    <x v="10"/>
    <x v="14"/>
    <s v="Male"/>
    <n v="86"/>
    <n v="340"/>
    <n v="712"/>
    <n v="29240"/>
    <n v="61232"/>
    <n v="31992"/>
  </r>
  <r>
    <x v="26"/>
    <s v="Natural Bliss Beverages"/>
    <x v="3"/>
    <x v="7"/>
    <x v="5"/>
    <s v="Male"/>
    <n v="21"/>
    <n v="534"/>
    <n v="1155"/>
    <n v="11214"/>
    <n v="24255"/>
    <n v="13041"/>
  </r>
  <r>
    <x v="27"/>
    <s v="Stellar Design Studio"/>
    <x v="1"/>
    <x v="1"/>
    <x v="3"/>
    <s v="Female"/>
    <n v="83"/>
    <n v="341"/>
    <n v="673"/>
    <n v="28303"/>
    <n v="55859"/>
    <n v="27556"/>
  </r>
  <r>
    <x v="28"/>
    <s v="Eternal Traditions"/>
    <x v="4"/>
    <x v="11"/>
    <x v="7"/>
    <s v="Female"/>
    <n v="45"/>
    <n v="485"/>
    <n v="1065"/>
    <n v="21825"/>
    <n v="47925"/>
    <n v="26100"/>
  </r>
  <r>
    <x v="29"/>
    <s v="TruePath Logistics"/>
    <x v="4"/>
    <x v="18"/>
    <x v="14"/>
    <s v="Female"/>
    <n v="62"/>
    <n v="641"/>
    <n v="996"/>
    <n v="39742"/>
    <n v="61752"/>
    <n v="22010"/>
  </r>
  <r>
    <x v="30"/>
    <s v="Mystic India Exports"/>
    <x v="2"/>
    <x v="4"/>
    <x v="10"/>
    <s v="Female"/>
    <n v="46"/>
    <n v="978"/>
    <n v="2100"/>
    <n v="44988"/>
    <n v="96600"/>
    <n v="51612"/>
  </r>
  <r>
    <x v="31"/>
    <s v="Visionary Holdings"/>
    <x v="0"/>
    <x v="23"/>
    <x v="4"/>
    <s v="Female"/>
    <n v="42"/>
    <n v="631"/>
    <n v="858"/>
    <n v="26502"/>
    <n v="36036"/>
    <n v="9534"/>
  </r>
  <r>
    <x v="32"/>
    <s v="Metro Tech Solutions"/>
    <x v="1"/>
    <x v="1"/>
    <x v="7"/>
    <s v="Female"/>
    <n v="62"/>
    <n v="355"/>
    <n v="507"/>
    <n v="22010"/>
    <n v="31434"/>
    <n v="9424"/>
  </r>
  <r>
    <x v="33"/>
    <s v="Divine Creations"/>
    <x v="1"/>
    <x v="10"/>
    <x v="7"/>
    <s v="Female"/>
    <n v="16"/>
    <n v="508"/>
    <n v="763"/>
    <n v="8128"/>
    <n v="12208"/>
    <n v="4080"/>
  </r>
  <r>
    <x v="34"/>
    <s v="Golden Horizon Ventures"/>
    <x v="3"/>
    <x v="16"/>
    <x v="12"/>
    <s v="Female"/>
    <n v="25"/>
    <n v="329"/>
    <n v="715"/>
    <n v="8225"/>
    <n v="17875"/>
    <n v="9650"/>
  </r>
  <r>
    <x v="35"/>
    <s v="Classic Cultures"/>
    <x v="2"/>
    <x v="14"/>
    <x v="5"/>
    <s v="Male"/>
    <n v="80"/>
    <n v="717"/>
    <n v="959"/>
    <n v="57360"/>
    <n v="76720"/>
    <n v="19360"/>
  </r>
  <r>
    <x v="36"/>
    <s v="Mystic India Exports"/>
    <x v="4"/>
    <x v="18"/>
    <x v="7"/>
    <s v="Male"/>
    <n v="73"/>
    <n v="598"/>
    <n v="1036"/>
    <n v="43654"/>
    <n v="75628"/>
    <n v="31974"/>
  </r>
  <r>
    <x v="37"/>
    <s v="Pure Essence Skincare"/>
    <x v="4"/>
    <x v="9"/>
    <x v="14"/>
    <s v="Male"/>
    <n v="68"/>
    <n v="864"/>
    <n v="1198"/>
    <n v="58752"/>
    <n v="81464"/>
    <n v="22712"/>
  </r>
  <r>
    <x v="38"/>
    <s v="Apex Solutions"/>
    <x v="1"/>
    <x v="2"/>
    <x v="0"/>
    <s v="Male"/>
    <n v="18"/>
    <n v="582"/>
    <n v="1154"/>
    <n v="10476"/>
    <n v="20772"/>
    <n v="10296"/>
  </r>
  <r>
    <x v="39"/>
    <s v="TruePath Logistics"/>
    <x v="3"/>
    <x v="7"/>
    <x v="5"/>
    <s v="Male"/>
    <n v="46"/>
    <n v="605"/>
    <n v="1237"/>
    <n v="27830"/>
    <n v="56902"/>
    <n v="29072"/>
  </r>
  <r>
    <x v="40"/>
    <s v="Stellar Design Studio"/>
    <x v="4"/>
    <x v="15"/>
    <x v="14"/>
    <s v="Female"/>
    <n v="54"/>
    <n v="640"/>
    <n v="1135"/>
    <n v="34560"/>
    <n v="61290"/>
    <n v="26730"/>
  </r>
  <r>
    <x v="41"/>
    <s v="Visionary Holdings"/>
    <x v="4"/>
    <x v="9"/>
    <x v="12"/>
    <s v="Female"/>
    <n v="34"/>
    <n v="544"/>
    <n v="975"/>
    <n v="18496"/>
    <n v="33150"/>
    <n v="14654"/>
  </r>
  <r>
    <x v="42"/>
    <s v="Harmony Foods"/>
    <x v="4"/>
    <x v="18"/>
    <x v="6"/>
    <s v="Female"/>
    <n v="100"/>
    <n v="690"/>
    <n v="1115"/>
    <n v="69000"/>
    <n v="111500"/>
    <n v="42500"/>
  </r>
  <r>
    <x v="43"/>
    <s v="Prestige Automobiles"/>
    <x v="2"/>
    <x v="20"/>
    <x v="2"/>
    <s v="Male"/>
    <n v="74"/>
    <n v="904"/>
    <n v="1415"/>
    <n v="66896"/>
    <n v="104710"/>
    <n v="37814"/>
  </r>
  <r>
    <x v="44"/>
    <s v="Mystic India Exports"/>
    <x v="4"/>
    <x v="18"/>
    <x v="13"/>
    <s v="Female"/>
    <n v="11"/>
    <n v="447"/>
    <n v="732"/>
    <n v="4917"/>
    <n v="8052"/>
    <n v="3135"/>
  </r>
  <r>
    <x v="45"/>
    <s v="Solid Ventures"/>
    <x v="2"/>
    <x v="13"/>
    <x v="14"/>
    <s v="Female"/>
    <n v="53"/>
    <n v="938"/>
    <n v="1789"/>
    <n v="49714"/>
    <n v="94817"/>
    <n v="45103"/>
  </r>
  <r>
    <x v="46"/>
    <s v="Solid Ventures"/>
    <x v="0"/>
    <x v="22"/>
    <x v="11"/>
    <s v="Female"/>
    <n v="50"/>
    <n v="941"/>
    <n v="1818"/>
    <n v="47050"/>
    <n v="90900"/>
    <n v="43850"/>
  </r>
  <r>
    <x v="47"/>
    <s v="Quantum Finance Services"/>
    <x v="1"/>
    <x v="1"/>
    <x v="1"/>
    <s v="Male"/>
    <n v="40"/>
    <n v="946"/>
    <n v="1797"/>
    <n v="37840"/>
    <n v="71880"/>
    <n v="34040"/>
  </r>
  <r>
    <x v="48"/>
    <s v="Zenith Construction Co."/>
    <x v="2"/>
    <x v="13"/>
    <x v="10"/>
    <s v="Male"/>
    <n v="91"/>
    <n v="402"/>
    <n v="671"/>
    <n v="36582"/>
    <n v="61061"/>
    <n v="24479"/>
  </r>
  <r>
    <x v="49"/>
    <s v="Elite Marketing Solutions"/>
    <x v="3"/>
    <x v="24"/>
    <x v="2"/>
    <s v="Female"/>
    <n v="17"/>
    <n v="600"/>
    <n v="954"/>
    <n v="10200"/>
    <n v="16218"/>
    <n v="6018"/>
  </r>
  <r>
    <x v="50"/>
    <s v="TruePath Logistics"/>
    <x v="2"/>
    <x v="14"/>
    <x v="13"/>
    <s v="Female"/>
    <n v="82"/>
    <n v="998"/>
    <n v="1998"/>
    <n v="81836"/>
    <n v="163836"/>
    <n v="82000"/>
  </r>
  <r>
    <x v="51"/>
    <s v="Eternal Traditions"/>
    <x v="2"/>
    <x v="13"/>
    <x v="1"/>
    <s v="Female"/>
    <n v="89"/>
    <n v="999"/>
    <n v="1477"/>
    <n v="88911"/>
    <n v="131453"/>
    <n v="42542"/>
  </r>
  <r>
    <x v="52"/>
    <s v="Stellar Design Studio"/>
    <x v="2"/>
    <x v="14"/>
    <x v="14"/>
    <s v="Female"/>
    <n v="68"/>
    <n v="561"/>
    <n v="1056"/>
    <n v="38148"/>
    <n v="71808"/>
    <n v="33660"/>
  </r>
  <r>
    <x v="53"/>
    <s v="Sacred Roots Apparel"/>
    <x v="3"/>
    <x v="7"/>
    <x v="9"/>
    <s v="Male"/>
    <n v="66"/>
    <n v="653"/>
    <n v="1428"/>
    <n v="43098"/>
    <n v="94248"/>
    <n v="51150"/>
  </r>
  <r>
    <x v="54"/>
    <s v="Zenith Construction Co."/>
    <x v="4"/>
    <x v="8"/>
    <x v="14"/>
    <s v="Female"/>
    <n v="35"/>
    <n v="693"/>
    <n v="1428"/>
    <n v="24255"/>
    <n v="49980"/>
    <n v="25725"/>
  </r>
  <r>
    <x v="55"/>
    <s v="Mystic India Exports"/>
    <x v="2"/>
    <x v="20"/>
    <x v="1"/>
    <s v="Female"/>
    <n v="83"/>
    <n v="602"/>
    <n v="1320"/>
    <n v="49966"/>
    <n v="109560"/>
    <n v="59594"/>
  </r>
  <r>
    <x v="56"/>
    <s v="Zenith Construction Co."/>
    <x v="0"/>
    <x v="23"/>
    <x v="5"/>
    <s v="Male"/>
    <n v="82"/>
    <n v="350"/>
    <n v="740"/>
    <n v="28700"/>
    <n v="60680"/>
    <n v="31980"/>
  </r>
  <r>
    <x v="57"/>
    <s v="Natural Bliss Beverages"/>
    <x v="4"/>
    <x v="8"/>
    <x v="3"/>
    <s v="Male"/>
    <n v="87"/>
    <n v="660"/>
    <n v="962"/>
    <n v="57420"/>
    <n v="83694"/>
    <n v="26274"/>
  </r>
  <r>
    <x v="58"/>
    <s v="Apex Solutions"/>
    <x v="1"/>
    <x v="3"/>
    <x v="7"/>
    <s v="Male"/>
    <n v="90"/>
    <n v="399"/>
    <n v="841"/>
    <n v="35910"/>
    <n v="75690"/>
    <n v="39780"/>
  </r>
  <r>
    <x v="59"/>
    <s v="Solid Ventures"/>
    <x v="0"/>
    <x v="22"/>
    <x v="3"/>
    <s v="Female"/>
    <n v="14"/>
    <n v="893"/>
    <n v="1425"/>
    <n v="12502"/>
    <n v="19950"/>
    <n v="74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65505A-F315-4C9B-AEAB-13D563774741}" name="Total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1" rowHeaderCaption=" ">
  <location ref="A13:B15" firstHeaderRow="1"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axis="axisRow" showAll="0">
      <items count="6">
        <item h="1" x="1"/>
        <item h="1" x="0"/>
        <item h="1" x="2"/>
        <item h="1" x="3"/>
        <item x="4"/>
        <item t="default"/>
      </items>
    </pivotField>
    <pivotField showAll="0"/>
    <pivotField showAll="0"/>
    <pivotField showAll="0"/>
    <pivotField showAll="0"/>
    <pivotField numFmtId="3" showAll="0"/>
    <pivotField numFmtId="3" showAll="0"/>
    <pivotField numFmtId="3" showAll="0"/>
    <pivotField dataField="1" numFmtId="3" showAll="0"/>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4"/>
    </i>
    <i t="grand">
      <x/>
    </i>
  </rowItems>
  <colItems count="1">
    <i/>
  </colItems>
  <dataFields count="1">
    <dataField name="Sum of Sale Price" fld="10" baseField="0" baseItem="0" numFmtId="3"/>
  </dataFields>
  <chartFormats count="1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2"/>
          </reference>
        </references>
      </pivotArea>
    </chartFormat>
    <chartFormat chart="6" format="4">
      <pivotArea type="data" outline="0" fieldPosition="0">
        <references count="2">
          <reference field="4294967294" count="1" selected="0">
            <x v="0"/>
          </reference>
          <reference field="2" count="1" selected="0">
            <x v="3"/>
          </reference>
        </references>
      </pivotArea>
    </chartFormat>
    <chartFormat chart="6" format="5">
      <pivotArea type="data" outline="0" fieldPosition="0">
        <references count="2">
          <reference field="4294967294" count="1" selected="0">
            <x v="0"/>
          </reference>
          <reference field="2" count="1" selected="0">
            <x v="4"/>
          </reference>
        </references>
      </pivotArea>
    </chartFormat>
    <chartFormat chart="417" format="6" series="1">
      <pivotArea type="data" outline="0" fieldPosition="0">
        <references count="1">
          <reference field="4294967294" count="1" selected="0">
            <x v="0"/>
          </reference>
        </references>
      </pivotArea>
    </chartFormat>
    <chartFormat chart="417" format="7">
      <pivotArea type="data" outline="0" fieldPosition="0">
        <references count="2">
          <reference field="4294967294" count="1" selected="0">
            <x v="0"/>
          </reference>
          <reference field="2" count="1" selected="0">
            <x v="0"/>
          </reference>
        </references>
      </pivotArea>
    </chartFormat>
    <chartFormat chart="417" format="8">
      <pivotArea type="data" outline="0" fieldPosition="0">
        <references count="2">
          <reference field="4294967294" count="1" selected="0">
            <x v="0"/>
          </reference>
          <reference field="2" count="1" selected="0">
            <x v="2"/>
          </reference>
        </references>
      </pivotArea>
    </chartFormat>
    <chartFormat chart="417" format="9">
      <pivotArea type="data" outline="0" fieldPosition="0">
        <references count="2">
          <reference field="4294967294" count="1" selected="0">
            <x v="0"/>
          </reference>
          <reference field="2" count="1" selected="0">
            <x v="3"/>
          </reference>
        </references>
      </pivotArea>
    </chartFormat>
    <chartFormat chart="417" format="10">
      <pivotArea type="data" outline="0" fieldPosition="0">
        <references count="2">
          <reference field="4294967294" count="1" selected="0">
            <x v="0"/>
          </reference>
          <reference field="2" count="1" selected="0">
            <x v="4"/>
          </reference>
        </references>
      </pivotArea>
    </chartFormat>
    <chartFormat chart="418" format="11" series="1">
      <pivotArea type="data" outline="0" fieldPosition="0">
        <references count="1">
          <reference field="4294967294" count="1" selected="0">
            <x v="0"/>
          </reference>
        </references>
      </pivotArea>
    </chartFormat>
    <chartFormat chart="418" format="12">
      <pivotArea type="data" outline="0" fieldPosition="0">
        <references count="2">
          <reference field="4294967294" count="1" selected="0">
            <x v="0"/>
          </reference>
          <reference field="2" count="1" selected="0">
            <x v="0"/>
          </reference>
        </references>
      </pivotArea>
    </chartFormat>
    <chartFormat chart="418" format="13">
      <pivotArea type="data" outline="0" fieldPosition="0">
        <references count="2">
          <reference field="4294967294" count="1" selected="0">
            <x v="0"/>
          </reference>
          <reference field="2" count="1" selected="0">
            <x v="2"/>
          </reference>
        </references>
      </pivotArea>
    </chartFormat>
    <chartFormat chart="418" format="14">
      <pivotArea type="data" outline="0" fieldPosition="0">
        <references count="2">
          <reference field="4294967294" count="1" selected="0">
            <x v="0"/>
          </reference>
          <reference field="2" count="1" selected="0">
            <x v="3"/>
          </reference>
        </references>
      </pivotArea>
    </chartFormat>
    <chartFormat chart="418" format="1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0D5B7F-B9C4-47C2-A2B8-AA68FC5D2A88}" name="prodectw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3:S19" firstHeaderRow="0"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items count="6">
        <item h="1" x="1"/>
        <item h="1" x="0"/>
        <item h="1" x="2"/>
        <item h="1" x="3"/>
        <item x="4"/>
        <item t="default"/>
      </items>
    </pivotField>
    <pivotField axis="axisRow" showAll="0">
      <items count="26">
        <item x="2"/>
        <item x="19"/>
        <item x="16"/>
        <item x="1"/>
        <item x="12"/>
        <item x="17"/>
        <item x="8"/>
        <item x="9"/>
        <item x="3"/>
        <item x="21"/>
        <item x="4"/>
        <item x="6"/>
        <item x="22"/>
        <item x="14"/>
        <item x="20"/>
        <item x="15"/>
        <item x="23"/>
        <item x="24"/>
        <item x="0"/>
        <item x="7"/>
        <item x="11"/>
        <item x="5"/>
        <item x="10"/>
        <item x="18"/>
        <item x="13"/>
        <item t="default"/>
      </items>
    </pivotField>
    <pivotField showAll="0"/>
    <pivotField showAll="0"/>
    <pivotField showAll="0"/>
    <pivotField numFmtId="3" showAll="0"/>
    <pivotField numFmtId="3" showAll="0"/>
    <pivotField numFmtId="3" showAll="0"/>
    <pivotField dataField="1"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6">
    <i>
      <x v="6"/>
    </i>
    <i>
      <x v="7"/>
    </i>
    <i>
      <x v="15"/>
    </i>
    <i>
      <x v="20"/>
    </i>
    <i>
      <x v="23"/>
    </i>
    <i t="grand">
      <x/>
    </i>
  </rowItems>
  <colFields count="1">
    <field x="-2"/>
  </colFields>
  <colItems count="2">
    <i>
      <x/>
    </i>
    <i i="1">
      <x v="1"/>
    </i>
  </colItems>
  <dataFields count="2">
    <dataField name="Sum of Sale Price" fld="10" baseField="0" baseItem="0" numFmtId="3"/>
    <dataField name="Sum of Profit" fld="11" showDataAs="percentOfTotal" baseField="0" baseItem="0" numFmtId="10"/>
  </dataFields>
  <formats count="2">
    <format dxfId="17">
      <pivotArea collapsedLevelsAreSubtotals="1" fieldPosition="0">
        <references count="2">
          <reference field="4294967294" count="1" selected="0">
            <x v="1"/>
          </reference>
          <reference field="3" count="1">
            <x v="22"/>
          </reference>
        </references>
      </pivotArea>
    </format>
    <format dxfId="16">
      <pivotArea collapsedLevelsAreSubtotals="1" fieldPosition="0">
        <references count="2">
          <reference field="4294967294" count="1" selected="0">
            <x v="1"/>
          </reference>
          <reference field="3" count="1">
            <x v="2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BE1B26-8A36-4C7E-96EC-95C74A945F9D}" name="Total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1">
  <location ref="H13:I15" firstHeaderRow="1"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axis="axisRow" showAll="0">
      <items count="6">
        <item h="1" x="1"/>
        <item h="1" x="0"/>
        <item h="1" x="2"/>
        <item h="1" x="3"/>
        <item x="4"/>
        <item t="default"/>
      </items>
    </pivotField>
    <pivotField showAll="0"/>
    <pivotField showAll="0"/>
    <pivotField showAll="0"/>
    <pivotField showAll="0"/>
    <pivotField numFmtId="3" showAll="0"/>
    <pivotField numFmtId="3" showAll="0"/>
    <pivotField numFmtId="3" showAll="0"/>
    <pivotField numFmtId="3" showAll="0"/>
    <pivotField dataField="1" numFmtId="3"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
    <i>
      <x v="4"/>
    </i>
    <i t="grand">
      <x/>
    </i>
  </rowItems>
  <colItems count="1">
    <i/>
  </colItems>
  <dataFields count="1">
    <dataField name="Sum of Profit" fld="11" baseField="0" baseItem="0" numFmtId="3"/>
  </dataFields>
  <chartFormats count="1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2"/>
          </reference>
        </references>
      </pivotArea>
    </chartFormat>
    <chartFormat chart="1" format="3">
      <pivotArea type="data" outline="0" fieldPosition="0">
        <references count="2">
          <reference field="4294967294" count="1" selected="0">
            <x v="0"/>
          </reference>
          <reference field="2" count="1" selected="0">
            <x v="3"/>
          </reference>
        </references>
      </pivotArea>
    </chartFormat>
    <chartFormat chart="1" format="4">
      <pivotArea type="data" outline="0" fieldPosition="0">
        <references count="2">
          <reference field="4294967294" count="1" selected="0">
            <x v="0"/>
          </reference>
          <reference field="2" count="1" selected="0">
            <x v="4"/>
          </reference>
        </references>
      </pivotArea>
    </chartFormat>
    <chartFormat chart="229" format="5" series="1">
      <pivotArea type="data" outline="0" fieldPosition="0">
        <references count="1">
          <reference field="4294967294" count="1" selected="0">
            <x v="0"/>
          </reference>
        </references>
      </pivotArea>
    </chartFormat>
    <chartFormat chart="229" format="6">
      <pivotArea type="data" outline="0" fieldPosition="0">
        <references count="2">
          <reference field="4294967294" count="1" selected="0">
            <x v="0"/>
          </reference>
          <reference field="2" count="1" selected="0">
            <x v="0"/>
          </reference>
        </references>
      </pivotArea>
    </chartFormat>
    <chartFormat chart="229" format="7">
      <pivotArea type="data" outline="0" fieldPosition="0">
        <references count="2">
          <reference field="4294967294" count="1" selected="0">
            <x v="0"/>
          </reference>
          <reference field="2" count="1" selected="0">
            <x v="2"/>
          </reference>
        </references>
      </pivotArea>
    </chartFormat>
    <chartFormat chart="229" format="8">
      <pivotArea type="data" outline="0" fieldPosition="0">
        <references count="2">
          <reference field="4294967294" count="1" selected="0">
            <x v="0"/>
          </reference>
          <reference field="2" count="1" selected="0">
            <x v="3"/>
          </reference>
        </references>
      </pivotArea>
    </chartFormat>
    <chartFormat chart="229" format="9">
      <pivotArea type="data" outline="0" fieldPosition="0">
        <references count="2">
          <reference field="4294967294" count="1" selected="0">
            <x v="0"/>
          </reference>
          <reference field="2" count="1" selected="0">
            <x v="4"/>
          </reference>
        </references>
      </pivotArea>
    </chartFormat>
    <chartFormat chart="230" format="10" series="1">
      <pivotArea type="data" outline="0" fieldPosition="0">
        <references count="1">
          <reference field="4294967294" count="1" selected="0">
            <x v="0"/>
          </reference>
        </references>
      </pivotArea>
    </chartFormat>
    <chartFormat chart="230" format="11">
      <pivotArea type="data" outline="0" fieldPosition="0">
        <references count="2">
          <reference field="4294967294" count="1" selected="0">
            <x v="0"/>
          </reference>
          <reference field="2" count="1" selected="0">
            <x v="0"/>
          </reference>
        </references>
      </pivotArea>
    </chartFormat>
    <chartFormat chart="230" format="12">
      <pivotArea type="data" outline="0" fieldPosition="0">
        <references count="2">
          <reference field="4294967294" count="1" selected="0">
            <x v="0"/>
          </reference>
          <reference field="2" count="1" selected="0">
            <x v="2"/>
          </reference>
        </references>
      </pivotArea>
    </chartFormat>
    <chartFormat chart="230" format="13">
      <pivotArea type="data" outline="0" fieldPosition="0">
        <references count="2">
          <reference field="4294967294" count="1" selected="0">
            <x v="0"/>
          </reference>
          <reference field="2" count="1" selected="0">
            <x v="3"/>
          </reference>
        </references>
      </pivotArea>
    </chartFormat>
    <chartFormat chart="230" format="14">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5E89C4-B5AC-4E2B-9374-BE2F56D07EA2}" name="monthw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13:M17" firstHeaderRow="0"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items count="6">
        <item h="1" x="1"/>
        <item h="1" x="0"/>
        <item h="1" x="2"/>
        <item h="1" x="3"/>
        <item x="4"/>
        <item t="default"/>
      </items>
    </pivotField>
    <pivotField showAll="0"/>
    <pivotField showAll="0"/>
    <pivotField showAll="0"/>
    <pivotField showAll="0"/>
    <pivotField numFmtId="3" showAll="0"/>
    <pivotField numFmtId="3" showAll="0"/>
    <pivotField numFmtId="3" showAll="0"/>
    <pivotField dataField="1"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4">
    <i>
      <x v="4"/>
    </i>
    <i>
      <x v="5"/>
    </i>
    <i>
      <x v="6"/>
    </i>
    <i t="grand">
      <x/>
    </i>
  </rowItems>
  <colFields count="1">
    <field x="-2"/>
  </colFields>
  <colItems count="2">
    <i>
      <x/>
    </i>
    <i i="1">
      <x v="1"/>
    </i>
  </colItems>
  <dataFields count="2">
    <dataField name="Sum of Sale Price" fld="10" baseField="0" baseItem="0" numFmtId="3"/>
    <dataField name="Sum of Profit" fld="11" baseField="0" baseItem="0" numFmtId="3"/>
  </dataFields>
  <chartFormats count="4">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23F481-0644-4963-9826-DB69F7C480C8}" name="Total 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1">
  <location ref="D13:E15" firstHeaderRow="1"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axis="axisRow" showAll="0">
      <items count="6">
        <item h="1" x="1"/>
        <item h="1" x="0"/>
        <item h="1" x="2"/>
        <item h="1" x="3"/>
        <item x="4"/>
        <item t="default"/>
      </items>
    </pivotField>
    <pivotField showAll="0"/>
    <pivotField showAll="0"/>
    <pivotField showAll="0"/>
    <pivotField showAll="0"/>
    <pivotField numFmtId="3" showAll="0"/>
    <pivotField numFmtId="3" showAll="0"/>
    <pivotField dataField="1" numFmtId="3" showAll="0"/>
    <pivotField numFmtId="3" showAll="0"/>
    <pivotField numFmtId="3"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4"/>
    </i>
    <i t="grand">
      <x/>
    </i>
  </rowItems>
  <colItems count="1">
    <i/>
  </colItems>
  <dataFields count="1">
    <dataField name="Sum of Purchase Cost" fld="9" baseField="0" baseItem="0" numFmtId="3"/>
  </dataFields>
  <chartFormats count="28">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2" count="1" selected="0">
            <x v="0"/>
          </reference>
        </references>
      </pivotArea>
    </chartFormat>
    <chartFormat chart="5" format="3">
      <pivotArea type="data" outline="0" fieldPosition="0">
        <references count="2">
          <reference field="4294967294" count="1" selected="0">
            <x v="0"/>
          </reference>
          <reference field="2" count="1" selected="0">
            <x v="1"/>
          </reference>
        </references>
      </pivotArea>
    </chartFormat>
    <chartFormat chart="5" format="4">
      <pivotArea type="data" outline="0" fieldPosition="0">
        <references count="2">
          <reference field="4294967294" count="1" selected="0">
            <x v="0"/>
          </reference>
          <reference field="2" count="1" selected="0">
            <x v="2"/>
          </reference>
        </references>
      </pivotArea>
    </chartFormat>
    <chartFormat chart="5" format="5">
      <pivotArea type="data" outline="0" fieldPosition="0">
        <references count="2">
          <reference field="4294967294" count="1" selected="0">
            <x v="0"/>
          </reference>
          <reference field="2" count="1" selected="0">
            <x v="3"/>
          </reference>
        </references>
      </pivotArea>
    </chartFormat>
    <chartFormat chart="5" format="6">
      <pivotArea type="data" outline="0" fieldPosition="0">
        <references count="2">
          <reference field="4294967294" count="1" selected="0">
            <x v="0"/>
          </reference>
          <reference field="2" count="1" selected="0">
            <x v="4"/>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 chart="7" format="4">
      <pivotArea type="data" outline="0" fieldPosition="0">
        <references count="2">
          <reference field="4294967294" count="1" selected="0">
            <x v="0"/>
          </reference>
          <reference field="2" count="1" selected="0">
            <x v="3"/>
          </reference>
        </references>
      </pivotArea>
    </chartFormat>
    <chartFormat chart="7" format="5">
      <pivotArea type="data" outline="0" fieldPosition="0">
        <references count="2">
          <reference field="4294967294" count="1" selected="0">
            <x v="0"/>
          </reference>
          <reference field="2" count="1" selected="0">
            <x v="4"/>
          </reference>
        </references>
      </pivotArea>
    </chartFormat>
    <chartFormat chart="405" format="6" series="1">
      <pivotArea type="data" outline="0" fieldPosition="0">
        <references count="1">
          <reference field="4294967294" count="1" selected="0">
            <x v="0"/>
          </reference>
        </references>
      </pivotArea>
    </chartFormat>
    <chartFormat chart="405" format="7">
      <pivotArea type="data" outline="0" fieldPosition="0">
        <references count="2">
          <reference field="4294967294" count="1" selected="0">
            <x v="0"/>
          </reference>
          <reference field="2" count="1" selected="0">
            <x v="0"/>
          </reference>
        </references>
      </pivotArea>
    </chartFormat>
    <chartFormat chart="405" format="8">
      <pivotArea type="data" outline="0" fieldPosition="0">
        <references count="2">
          <reference field="4294967294" count="1" selected="0">
            <x v="0"/>
          </reference>
          <reference field="2" count="1" selected="0">
            <x v="2"/>
          </reference>
        </references>
      </pivotArea>
    </chartFormat>
    <chartFormat chart="405" format="9">
      <pivotArea type="data" outline="0" fieldPosition="0">
        <references count="2">
          <reference field="4294967294" count="1" selected="0">
            <x v="0"/>
          </reference>
          <reference field="2" count="1" selected="0">
            <x v="3"/>
          </reference>
        </references>
      </pivotArea>
    </chartFormat>
    <chartFormat chart="405" format="10">
      <pivotArea type="data" outline="0" fieldPosition="0">
        <references count="2">
          <reference field="4294967294" count="1" selected="0">
            <x v="0"/>
          </reference>
          <reference field="2" count="1" selected="0">
            <x v="4"/>
          </reference>
        </references>
      </pivotArea>
    </chartFormat>
    <chartFormat chart="409" format="6" series="1">
      <pivotArea type="data" outline="0" fieldPosition="0">
        <references count="1">
          <reference field="4294967294" count="1" selected="0">
            <x v="0"/>
          </reference>
        </references>
      </pivotArea>
    </chartFormat>
    <chartFormat chart="409" format="7">
      <pivotArea type="data" outline="0" fieldPosition="0">
        <references count="2">
          <reference field="4294967294" count="1" selected="0">
            <x v="0"/>
          </reference>
          <reference field="2" count="1" selected="0">
            <x v="0"/>
          </reference>
        </references>
      </pivotArea>
    </chartFormat>
    <chartFormat chart="409" format="8">
      <pivotArea type="data" outline="0" fieldPosition="0">
        <references count="2">
          <reference field="4294967294" count="1" selected="0">
            <x v="0"/>
          </reference>
          <reference field="2" count="1" selected="0">
            <x v="2"/>
          </reference>
        </references>
      </pivotArea>
    </chartFormat>
    <chartFormat chart="409" format="9">
      <pivotArea type="data" outline="0" fieldPosition="0">
        <references count="2">
          <reference field="4294967294" count="1" selected="0">
            <x v="0"/>
          </reference>
          <reference field="2" count="1" selected="0">
            <x v="3"/>
          </reference>
        </references>
      </pivotArea>
    </chartFormat>
    <chartFormat chart="409" format="10">
      <pivotArea type="data" outline="0" fieldPosition="0">
        <references count="2">
          <reference field="4294967294" count="1" selected="0">
            <x v="0"/>
          </reference>
          <reference field="2" count="1" selected="0">
            <x v="4"/>
          </reference>
        </references>
      </pivotArea>
    </chartFormat>
    <chartFormat chart="410" format="11" series="1">
      <pivotArea type="data" outline="0" fieldPosition="0">
        <references count="1">
          <reference field="4294967294" count="1" selected="0">
            <x v="0"/>
          </reference>
        </references>
      </pivotArea>
    </chartFormat>
    <chartFormat chart="410" format="12">
      <pivotArea type="data" outline="0" fieldPosition="0">
        <references count="2">
          <reference field="4294967294" count="1" selected="0">
            <x v="0"/>
          </reference>
          <reference field="2" count="1" selected="0">
            <x v="0"/>
          </reference>
        </references>
      </pivotArea>
    </chartFormat>
    <chartFormat chart="410" format="13">
      <pivotArea type="data" outline="0" fieldPosition="0">
        <references count="2">
          <reference field="4294967294" count="1" selected="0">
            <x v="0"/>
          </reference>
          <reference field="2" count="1" selected="0">
            <x v="2"/>
          </reference>
        </references>
      </pivotArea>
    </chartFormat>
    <chartFormat chart="410" format="14">
      <pivotArea type="data" outline="0" fieldPosition="0">
        <references count="2">
          <reference field="4294967294" count="1" selected="0">
            <x v="0"/>
          </reference>
          <reference field="2" count="1" selected="0">
            <x v="3"/>
          </reference>
        </references>
      </pivotArea>
    </chartFormat>
    <chartFormat chart="410" format="1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67D330-B34C-4BE9-B446-F26D2DAF4F1A}" name="statesw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3:V29" firstHeaderRow="1" firstDataRow="1" firstDataCol="1"/>
  <pivotFields count="14">
    <pivotField numFmtId="16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items count="6">
        <item h="1" x="1"/>
        <item h="1" x="0"/>
        <item h="1" x="2"/>
        <item h="1" x="3"/>
        <item x="4"/>
        <item t="default"/>
      </items>
    </pivotField>
    <pivotField showAll="0">
      <items count="26">
        <item x="2"/>
        <item x="19"/>
        <item x="16"/>
        <item x="1"/>
        <item x="12"/>
        <item x="17"/>
        <item x="8"/>
        <item x="9"/>
        <item x="3"/>
        <item x="21"/>
        <item x="4"/>
        <item x="6"/>
        <item x="22"/>
        <item x="14"/>
        <item x="20"/>
        <item x="15"/>
        <item x="23"/>
        <item x="24"/>
        <item x="0"/>
        <item x="7"/>
        <item x="11"/>
        <item x="5"/>
        <item x="10"/>
        <item x="18"/>
        <item x="13"/>
        <item t="default"/>
      </items>
    </pivotField>
    <pivotField axis="axisRow" showAll="0">
      <items count="16">
        <item x="0"/>
        <item x="1"/>
        <item x="12"/>
        <item x="2"/>
        <item x="10"/>
        <item x="11"/>
        <item x="5"/>
        <item x="7"/>
        <item x="4"/>
        <item x="3"/>
        <item x="14"/>
        <item x="8"/>
        <item x="6"/>
        <item x="13"/>
        <item x="9"/>
        <item t="default"/>
      </items>
    </pivotField>
    <pivotField showAll="0"/>
    <pivotField showAll="0"/>
    <pivotField numFmtId="3" showAll="0"/>
    <pivotField numFmtId="3" showAll="0"/>
    <pivotField numFmtId="3" showAll="0"/>
    <pivotField dataField="1" numFmtId="3"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Sale Price" fld="1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E17EBE-0C39-4E23-B8AC-30EEFD6A13E2}" sourceName="Category">
  <pivotTables>
    <pivotTable tabId="3" name="Total Sale"/>
    <pivotTable tabId="3" name="monthwies"/>
    <pivotTable tabId="3" name="prodectwies"/>
    <pivotTable tabId="3" name="stateswies"/>
    <pivotTable tabId="3" name="Total Purchase"/>
    <pivotTable tabId="3" name="Total Profit"/>
  </pivotTables>
  <data>
    <tabular pivotCacheId="225610600">
      <items count="5">
        <i x="1"/>
        <i x="0"/>
        <i x="2"/>
        <i x="3"/>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45D37D4-1850-42FB-831E-A6D4BC4252A2}" cache="Slicer_Category" caption="Category"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A030EB6-9893-432C-BE98-E34081D6721E}" cache="Slicer_Category" caption="Category"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1017-E06A-4733-8E9A-D61984FB8C33}">
  <dimension ref="A11:V67"/>
  <sheetViews>
    <sheetView topLeftCell="C1" zoomScale="79" zoomScaleNormal="115" workbookViewId="0">
      <selection activeCell="M87" sqref="M87"/>
    </sheetView>
  </sheetViews>
  <sheetFormatPr defaultRowHeight="14.4" x14ac:dyDescent="0.3"/>
  <cols>
    <col min="1" max="1" width="11.109375" bestFit="1" customWidth="1"/>
    <col min="2" max="2" width="16" bestFit="1" customWidth="1"/>
    <col min="4" max="4" width="13.44140625" bestFit="1" customWidth="1"/>
    <col min="5" max="5" width="19.77734375" bestFit="1" customWidth="1"/>
    <col min="6" max="6" width="19.44140625" customWidth="1"/>
    <col min="8" max="8" width="13.44140625" bestFit="1" customWidth="1"/>
    <col min="9" max="9" width="12.33203125" bestFit="1" customWidth="1"/>
    <col min="10" max="10" width="12.109375" customWidth="1"/>
    <col min="11" max="11" width="13.44140625" bestFit="1" customWidth="1"/>
    <col min="12" max="12" width="16" bestFit="1" customWidth="1"/>
    <col min="13" max="13" width="12.33203125" bestFit="1" customWidth="1"/>
    <col min="14" max="16" width="12.109375" customWidth="1"/>
    <col min="17" max="17" width="14.33203125" bestFit="1" customWidth="1"/>
    <col min="18" max="18" width="16" bestFit="1" customWidth="1"/>
    <col min="19" max="19" width="12.33203125" bestFit="1" customWidth="1"/>
    <col min="20" max="20" width="12.109375" customWidth="1"/>
    <col min="21" max="21" width="15.44140625" bestFit="1" customWidth="1"/>
    <col min="22" max="22" width="16" bestFit="1" customWidth="1"/>
    <col min="24" max="24" width="15.44140625" bestFit="1" customWidth="1"/>
    <col min="25" max="25" width="16" bestFit="1" customWidth="1"/>
  </cols>
  <sheetData>
    <row r="11" spans="1:22" x14ac:dyDescent="0.3">
      <c r="B11">
        <f>GETPIVOTDATA("Sale Price",$A$13)</f>
        <v>2353508</v>
      </c>
      <c r="E11">
        <f>GETPIVOTDATA("Purchase Cost",$D$13)</f>
        <v>1356702</v>
      </c>
      <c r="I11">
        <f>GETPIVOTDATA("Profit",$H$13)</f>
        <v>996806</v>
      </c>
    </row>
    <row r="13" spans="1:22" ht="12" customHeight="1" x14ac:dyDescent="0.3">
      <c r="A13" s="5" t="s">
        <v>113</v>
      </c>
      <c r="B13" t="s">
        <v>105</v>
      </c>
      <c r="D13" s="5" t="s">
        <v>108</v>
      </c>
      <c r="E13" t="s">
        <v>106</v>
      </c>
      <c r="H13" s="5" t="s">
        <v>108</v>
      </c>
      <c r="I13" t="s">
        <v>107</v>
      </c>
      <c r="K13" s="5" t="s">
        <v>108</v>
      </c>
      <c r="L13" t="s">
        <v>105</v>
      </c>
      <c r="M13" t="s">
        <v>107</v>
      </c>
      <c r="Q13" s="5" t="s">
        <v>108</v>
      </c>
      <c r="R13" t="s">
        <v>105</v>
      </c>
      <c r="S13" t="s">
        <v>107</v>
      </c>
      <c r="U13" s="5" t="s">
        <v>108</v>
      </c>
      <c r="V13" t="s">
        <v>105</v>
      </c>
    </row>
    <row r="14" spans="1:22" x14ac:dyDescent="0.3">
      <c r="A14" s="6" t="s">
        <v>45</v>
      </c>
      <c r="B14" s="3">
        <v>2353508</v>
      </c>
      <c r="D14" s="6" t="s">
        <v>45</v>
      </c>
      <c r="E14" s="3">
        <v>1356702</v>
      </c>
      <c r="F14" s="3"/>
      <c r="G14" s="3"/>
      <c r="H14" s="6" t="s">
        <v>45</v>
      </c>
      <c r="I14" s="3">
        <v>996806</v>
      </c>
      <c r="K14" s="6" t="s">
        <v>110</v>
      </c>
      <c r="L14" s="3">
        <v>1009553</v>
      </c>
      <c r="M14" s="3">
        <v>447234</v>
      </c>
      <c r="N14" s="3"/>
      <c r="O14" s="3"/>
      <c r="P14" s="7"/>
      <c r="Q14" s="6" t="s">
        <v>46</v>
      </c>
      <c r="R14" s="3">
        <v>344662</v>
      </c>
      <c r="S14" s="7">
        <v>0.13687718573122554</v>
      </c>
      <c r="T14" s="7"/>
      <c r="U14" s="6" t="s">
        <v>15</v>
      </c>
      <c r="V14" s="3">
        <v>111004</v>
      </c>
    </row>
    <row r="15" spans="1:22" x14ac:dyDescent="0.3">
      <c r="A15" s="6" t="s">
        <v>109</v>
      </c>
      <c r="B15" s="3">
        <v>2353508</v>
      </c>
      <c r="D15" s="6" t="s">
        <v>109</v>
      </c>
      <c r="E15" s="3">
        <v>1356702</v>
      </c>
      <c r="F15" s="3"/>
      <c r="G15" s="3"/>
      <c r="H15" s="6" t="s">
        <v>109</v>
      </c>
      <c r="I15" s="3">
        <v>996806</v>
      </c>
      <c r="K15" s="6" t="s">
        <v>111</v>
      </c>
      <c r="L15" s="3">
        <v>766073</v>
      </c>
      <c r="M15" s="3">
        <v>298069</v>
      </c>
      <c r="N15" s="3"/>
      <c r="O15" s="3"/>
      <c r="P15" s="7"/>
      <c r="Q15" s="6" t="s">
        <v>48</v>
      </c>
      <c r="R15" s="3">
        <v>482039</v>
      </c>
      <c r="S15" s="7">
        <v>0.21111630547970217</v>
      </c>
      <c r="T15" s="7"/>
      <c r="U15" s="6" t="s">
        <v>20</v>
      </c>
      <c r="V15" s="3">
        <v>148518</v>
      </c>
    </row>
    <row r="16" spans="1:22" x14ac:dyDescent="0.3">
      <c r="F16" s="3"/>
      <c r="G16" s="3"/>
      <c r="K16" s="6" t="s">
        <v>112</v>
      </c>
      <c r="L16" s="3">
        <v>577882</v>
      </c>
      <c r="M16" s="3">
        <v>251503</v>
      </c>
      <c r="N16" s="3"/>
      <c r="O16" s="3"/>
      <c r="P16" s="7"/>
      <c r="Q16" s="6" t="s">
        <v>62</v>
      </c>
      <c r="R16" s="3">
        <v>762362</v>
      </c>
      <c r="S16" s="7">
        <v>0.32643864503223297</v>
      </c>
      <c r="T16" s="7"/>
      <c r="U16" s="6" t="s">
        <v>63</v>
      </c>
      <c r="V16" s="3">
        <v>260133</v>
      </c>
    </row>
    <row r="17" spans="6:22" x14ac:dyDescent="0.3">
      <c r="F17" s="3"/>
      <c r="G17" s="3"/>
      <c r="K17" s="6" t="s">
        <v>109</v>
      </c>
      <c r="L17" s="3">
        <v>2353508</v>
      </c>
      <c r="M17" s="3">
        <v>996806</v>
      </c>
      <c r="N17" s="3"/>
      <c r="O17" s="3"/>
      <c r="P17" s="7"/>
      <c r="Q17" s="6" t="s">
        <v>53</v>
      </c>
      <c r="R17" s="3">
        <v>341559</v>
      </c>
      <c r="S17" s="7">
        <v>0.15463289747453365</v>
      </c>
      <c r="T17" s="7"/>
      <c r="U17" s="6" t="s">
        <v>23</v>
      </c>
      <c r="V17" s="3">
        <v>144670</v>
      </c>
    </row>
    <row r="18" spans="6:22" x14ac:dyDescent="0.3">
      <c r="F18" s="3"/>
      <c r="G18" s="3"/>
      <c r="Q18" s="6" t="s">
        <v>70</v>
      </c>
      <c r="R18" s="3">
        <v>422886</v>
      </c>
      <c r="S18" s="7">
        <v>0.17093496628230567</v>
      </c>
      <c r="T18" s="7"/>
      <c r="U18" s="6" t="s">
        <v>51</v>
      </c>
      <c r="V18" s="3">
        <v>167853</v>
      </c>
    </row>
    <row r="19" spans="6:22" x14ac:dyDescent="0.3">
      <c r="F19" s="3"/>
      <c r="G19" s="3"/>
      <c r="Q19" s="6" t="s">
        <v>109</v>
      </c>
      <c r="R19" s="3">
        <v>2353508</v>
      </c>
      <c r="S19" s="7">
        <v>1</v>
      </c>
      <c r="T19" s="7"/>
      <c r="U19" s="6" t="s">
        <v>55</v>
      </c>
      <c r="V19" s="3">
        <v>17325</v>
      </c>
    </row>
    <row r="20" spans="6:22" x14ac:dyDescent="0.3">
      <c r="T20" s="7"/>
      <c r="U20" s="6" t="s">
        <v>35</v>
      </c>
      <c r="V20" s="3">
        <v>65439</v>
      </c>
    </row>
    <row r="21" spans="6:22" x14ac:dyDescent="0.3">
      <c r="T21" s="7"/>
      <c r="U21" s="6" t="s">
        <v>41</v>
      </c>
      <c r="V21" s="3">
        <v>147047</v>
      </c>
    </row>
    <row r="22" spans="6:22" x14ac:dyDescent="0.3">
      <c r="T22" s="7"/>
      <c r="U22" s="6" t="s">
        <v>31</v>
      </c>
      <c r="V22" s="3">
        <v>300380</v>
      </c>
    </row>
    <row r="23" spans="6:22" ht="15" customHeight="1" x14ac:dyDescent="0.3">
      <c r="T23" s="7"/>
      <c r="U23" s="6" t="s">
        <v>27</v>
      </c>
      <c r="V23" s="3">
        <v>135774</v>
      </c>
    </row>
    <row r="24" spans="6:22" x14ac:dyDescent="0.3">
      <c r="T24" s="7"/>
      <c r="U24" s="6" t="s">
        <v>71</v>
      </c>
      <c r="V24" s="3">
        <v>352493</v>
      </c>
    </row>
    <row r="25" spans="6:22" x14ac:dyDescent="0.3">
      <c r="T25" s="7"/>
      <c r="U25" s="6" t="s">
        <v>43</v>
      </c>
      <c r="V25" s="3">
        <v>67068</v>
      </c>
    </row>
    <row r="26" spans="6:22" x14ac:dyDescent="0.3">
      <c r="T26" s="7"/>
      <c r="U26" s="6" t="s">
        <v>39</v>
      </c>
      <c r="V26" s="3">
        <v>130636</v>
      </c>
    </row>
    <row r="27" spans="6:22" x14ac:dyDescent="0.3">
      <c r="T27" s="7"/>
      <c r="U27" s="6" t="s">
        <v>65</v>
      </c>
      <c r="V27" s="3">
        <v>276008</v>
      </c>
    </row>
    <row r="28" spans="6:22" x14ac:dyDescent="0.3">
      <c r="T28" s="7"/>
      <c r="U28" s="6" t="s">
        <v>49</v>
      </c>
      <c r="V28" s="3">
        <v>29160</v>
      </c>
    </row>
    <row r="29" spans="6:22" x14ac:dyDescent="0.3">
      <c r="T29" s="7"/>
      <c r="U29" s="6" t="s">
        <v>109</v>
      </c>
      <c r="V29" s="3">
        <v>2353508</v>
      </c>
    </row>
    <row r="30" spans="6:22" x14ac:dyDescent="0.3">
      <c r="T30" s="7"/>
    </row>
    <row r="31" spans="6:22" x14ac:dyDescent="0.3">
      <c r="T31" s="7"/>
    </row>
    <row r="32" spans="6:22" x14ac:dyDescent="0.3">
      <c r="T32" s="7"/>
    </row>
    <row r="33" spans="17:22" x14ac:dyDescent="0.3">
      <c r="T33" s="7"/>
      <c r="U33" s="8" t="s">
        <v>108</v>
      </c>
      <c r="V33" s="8" t="s">
        <v>105</v>
      </c>
    </row>
    <row r="34" spans="17:22" x14ac:dyDescent="0.3">
      <c r="T34" s="7"/>
      <c r="U34" s="6" t="s">
        <v>15</v>
      </c>
      <c r="V34">
        <f>GETPIVOTDATA("Sale Price",$U$13,"State",U34)</f>
        <v>111004</v>
      </c>
    </row>
    <row r="35" spans="17:22" x14ac:dyDescent="0.3">
      <c r="T35" s="7"/>
      <c r="U35" s="6" t="s">
        <v>20</v>
      </c>
      <c r="V35">
        <f t="shared" ref="V35:V48" si="0">GETPIVOTDATA("Sale Price",$U$13,"State",U35)</f>
        <v>148518</v>
      </c>
    </row>
    <row r="36" spans="17:22" x14ac:dyDescent="0.3">
      <c r="T36" s="7"/>
      <c r="U36" s="6" t="s">
        <v>63</v>
      </c>
      <c r="V36">
        <f t="shared" si="0"/>
        <v>260133</v>
      </c>
    </row>
    <row r="37" spans="17:22" x14ac:dyDescent="0.3">
      <c r="T37" s="7"/>
      <c r="U37" s="6" t="s">
        <v>23</v>
      </c>
      <c r="V37">
        <f t="shared" si="0"/>
        <v>144670</v>
      </c>
    </row>
    <row r="38" spans="17:22" x14ac:dyDescent="0.3">
      <c r="T38" s="7"/>
      <c r="U38" s="6" t="s">
        <v>51</v>
      </c>
      <c r="V38">
        <f t="shared" si="0"/>
        <v>167853</v>
      </c>
    </row>
    <row r="39" spans="17:22" x14ac:dyDescent="0.3">
      <c r="T39" s="7"/>
      <c r="U39" s="6" t="s">
        <v>55</v>
      </c>
      <c r="V39">
        <f t="shared" si="0"/>
        <v>17325</v>
      </c>
    </row>
    <row r="40" spans="17:22" x14ac:dyDescent="0.3">
      <c r="U40" s="6" t="s">
        <v>35</v>
      </c>
      <c r="V40">
        <f t="shared" si="0"/>
        <v>65439</v>
      </c>
    </row>
    <row r="41" spans="17:22" x14ac:dyDescent="0.3">
      <c r="U41" s="6" t="s">
        <v>41</v>
      </c>
      <c r="V41">
        <f t="shared" si="0"/>
        <v>147047</v>
      </c>
    </row>
    <row r="42" spans="17:22" x14ac:dyDescent="0.3">
      <c r="Q42" s="8" t="s">
        <v>108</v>
      </c>
      <c r="R42" s="8" t="s">
        <v>105</v>
      </c>
      <c r="S42" s="10" t="s">
        <v>107</v>
      </c>
      <c r="U42" s="6" t="s">
        <v>31</v>
      </c>
      <c r="V42">
        <f t="shared" si="0"/>
        <v>300380</v>
      </c>
    </row>
    <row r="43" spans="17:22" x14ac:dyDescent="0.3">
      <c r="Q43" s="6" t="s">
        <v>22</v>
      </c>
      <c r="R43" t="e">
        <f>GETPIVOTDATA("Sum of Sale Price",$Q$13,"Product Name",Q43)</f>
        <v>#REF!</v>
      </c>
      <c r="S43" s="9" t="e">
        <f>GETPIVOTDATA("Sum of Profit",$Q$13,"Product Name",Q43)</f>
        <v>#REF!</v>
      </c>
      <c r="U43" s="6" t="s">
        <v>27</v>
      </c>
      <c r="V43">
        <f t="shared" si="0"/>
        <v>135774</v>
      </c>
    </row>
    <row r="44" spans="17:22" x14ac:dyDescent="0.3">
      <c r="Q44" s="6" t="s">
        <v>73</v>
      </c>
      <c r="R44" t="e">
        <f t="shared" ref="R44:R54" si="1">GETPIVOTDATA("Sum of Sale Price",$Q$13,"Product Name",Q44)</f>
        <v>#REF!</v>
      </c>
      <c r="S44" s="9" t="e">
        <f t="shared" ref="S44:S67" si="2">GETPIVOTDATA("Sum of Profit",$Q$13,"Product Name",Q44)</f>
        <v>#REF!</v>
      </c>
      <c r="U44" s="6" t="s">
        <v>71</v>
      </c>
      <c r="V44">
        <f t="shared" si="0"/>
        <v>352493</v>
      </c>
    </row>
    <row r="45" spans="17:22" x14ac:dyDescent="0.3">
      <c r="Q45" s="6" t="s">
        <v>64</v>
      </c>
      <c r="R45" t="e">
        <f t="shared" si="1"/>
        <v>#REF!</v>
      </c>
      <c r="S45" s="9" t="e">
        <f t="shared" si="2"/>
        <v>#REF!</v>
      </c>
      <c r="U45" s="6" t="s">
        <v>43</v>
      </c>
      <c r="V45">
        <f t="shared" si="0"/>
        <v>67068</v>
      </c>
    </row>
    <row r="46" spans="17:22" x14ac:dyDescent="0.3">
      <c r="Q46" s="6" t="s">
        <v>19</v>
      </c>
      <c r="R46" t="e">
        <f t="shared" si="1"/>
        <v>#REF!</v>
      </c>
      <c r="S46" s="9" t="e">
        <f t="shared" si="2"/>
        <v>#REF!</v>
      </c>
      <c r="U46" s="6" t="s">
        <v>39</v>
      </c>
      <c r="V46">
        <f t="shared" si="0"/>
        <v>130636</v>
      </c>
    </row>
    <row r="47" spans="17:22" x14ac:dyDescent="0.3">
      <c r="Q47" s="6" t="s">
        <v>56</v>
      </c>
      <c r="R47" t="e">
        <f t="shared" si="1"/>
        <v>#REF!</v>
      </c>
      <c r="S47" s="9" t="e">
        <f t="shared" si="2"/>
        <v>#REF!</v>
      </c>
      <c r="U47" s="6" t="s">
        <v>65</v>
      </c>
      <c r="V47">
        <f t="shared" si="0"/>
        <v>276008</v>
      </c>
    </row>
    <row r="48" spans="17:22" x14ac:dyDescent="0.3">
      <c r="Q48" s="6" t="s">
        <v>67</v>
      </c>
      <c r="S48" s="9"/>
      <c r="U48" s="6" t="s">
        <v>49</v>
      </c>
      <c r="V48">
        <f t="shared" si="0"/>
        <v>29160</v>
      </c>
    </row>
    <row r="49" spans="17:19" x14ac:dyDescent="0.3">
      <c r="Q49" s="6" t="s">
        <v>46</v>
      </c>
      <c r="R49">
        <f t="shared" si="1"/>
        <v>344662</v>
      </c>
      <c r="S49" s="9">
        <f t="shared" si="2"/>
        <v>0.13687718573122554</v>
      </c>
    </row>
    <row r="50" spans="17:19" x14ac:dyDescent="0.3">
      <c r="Q50" s="6" t="s">
        <v>48</v>
      </c>
      <c r="R50">
        <f t="shared" si="1"/>
        <v>482039</v>
      </c>
      <c r="S50" s="9">
        <f t="shared" si="2"/>
        <v>0.21111630547970217</v>
      </c>
    </row>
    <row r="51" spans="17:19" x14ac:dyDescent="0.3">
      <c r="Q51" s="6" t="s">
        <v>26</v>
      </c>
      <c r="R51" t="e">
        <f t="shared" si="1"/>
        <v>#REF!</v>
      </c>
      <c r="S51" s="9" t="e">
        <f t="shared" si="2"/>
        <v>#REF!</v>
      </c>
    </row>
    <row r="52" spans="17:19" x14ac:dyDescent="0.3">
      <c r="Q52" s="6" t="s">
        <v>76</v>
      </c>
      <c r="R52" t="e">
        <f t="shared" si="1"/>
        <v>#REF!</v>
      </c>
      <c r="S52" s="9" t="e">
        <f t="shared" si="2"/>
        <v>#REF!</v>
      </c>
    </row>
    <row r="53" spans="17:19" x14ac:dyDescent="0.3">
      <c r="Q53" s="6" t="s">
        <v>30</v>
      </c>
      <c r="R53" t="e">
        <f t="shared" si="1"/>
        <v>#REF!</v>
      </c>
      <c r="S53" s="9" t="e">
        <f t="shared" si="2"/>
        <v>#REF!</v>
      </c>
    </row>
    <row r="54" spans="17:19" x14ac:dyDescent="0.3">
      <c r="Q54" s="6" t="s">
        <v>38</v>
      </c>
      <c r="R54" t="e">
        <f t="shared" si="1"/>
        <v>#REF!</v>
      </c>
      <c r="S54" s="9" t="e">
        <f t="shared" si="2"/>
        <v>#REF!</v>
      </c>
    </row>
    <row r="55" spans="17:19" x14ac:dyDescent="0.3">
      <c r="Q55" s="6" t="s">
        <v>77</v>
      </c>
      <c r="S55" s="9" t="str">
        <f>IFERROR(GETPIVOTDATA("Sum of Profit",$Q$13,"Product Name",Q55),"")</f>
        <v/>
      </c>
    </row>
    <row r="56" spans="17:19" x14ac:dyDescent="0.3">
      <c r="Q56" s="6" t="s">
        <v>60</v>
      </c>
      <c r="R56" t="str">
        <f t="shared" ref="R56:R67" si="3">IFERROR(GETPIVOTDATA("Sum of Sale Price",$Q$13,"Product Name",Q56),"")</f>
        <v/>
      </c>
      <c r="S56" s="9" t="str">
        <f t="shared" ref="S56:S65" si="4">IFERROR(GETPIVOTDATA("Sum of Profit",$Q$13,"Product Name",Q56),"")</f>
        <v/>
      </c>
    </row>
    <row r="57" spans="17:19" x14ac:dyDescent="0.3">
      <c r="Q57" s="6" t="s">
        <v>74</v>
      </c>
      <c r="R57" t="str">
        <f t="shared" si="3"/>
        <v/>
      </c>
      <c r="S57" s="9" t="str">
        <f t="shared" si="4"/>
        <v/>
      </c>
    </row>
    <row r="58" spans="17:19" x14ac:dyDescent="0.3">
      <c r="Q58" s="6" t="s">
        <v>62</v>
      </c>
      <c r="R58">
        <f t="shared" si="3"/>
        <v>762362</v>
      </c>
      <c r="S58" s="9">
        <f t="shared" si="4"/>
        <v>0.32643864503223297</v>
      </c>
    </row>
    <row r="59" spans="17:19" x14ac:dyDescent="0.3">
      <c r="Q59" s="6" t="s">
        <v>80</v>
      </c>
      <c r="R59" t="str">
        <f t="shared" si="3"/>
        <v/>
      </c>
      <c r="S59" s="9" t="str">
        <f t="shared" si="4"/>
        <v/>
      </c>
    </row>
    <row r="60" spans="17:19" x14ac:dyDescent="0.3">
      <c r="Q60" s="6" t="s">
        <v>81</v>
      </c>
      <c r="R60" t="str">
        <f t="shared" si="3"/>
        <v/>
      </c>
      <c r="S60" s="9" t="str">
        <f t="shared" si="4"/>
        <v/>
      </c>
    </row>
    <row r="61" spans="17:19" x14ac:dyDescent="0.3">
      <c r="Q61" s="6" t="s">
        <v>14</v>
      </c>
      <c r="R61" t="str">
        <f t="shared" si="3"/>
        <v/>
      </c>
      <c r="S61" s="9" t="str">
        <f t="shared" si="4"/>
        <v/>
      </c>
    </row>
    <row r="62" spans="17:19" x14ac:dyDescent="0.3">
      <c r="Q62" s="6" t="s">
        <v>42</v>
      </c>
      <c r="R62" t="str">
        <f t="shared" si="3"/>
        <v/>
      </c>
      <c r="S62" s="9" t="str">
        <f t="shared" si="4"/>
        <v/>
      </c>
    </row>
    <row r="63" spans="17:19" x14ac:dyDescent="0.3">
      <c r="Q63" s="6" t="s">
        <v>53</v>
      </c>
      <c r="R63">
        <f t="shared" si="3"/>
        <v>341559</v>
      </c>
      <c r="S63" s="9">
        <f t="shared" si="4"/>
        <v>0.15463289747453365</v>
      </c>
    </row>
    <row r="64" spans="17:19" x14ac:dyDescent="0.3">
      <c r="Q64" s="6" t="s">
        <v>34</v>
      </c>
      <c r="R64" t="str">
        <f t="shared" si="3"/>
        <v/>
      </c>
      <c r="S64" s="9" t="str">
        <f t="shared" si="4"/>
        <v/>
      </c>
    </row>
    <row r="65" spans="17:19" x14ac:dyDescent="0.3">
      <c r="Q65" s="6" t="s">
        <v>52</v>
      </c>
      <c r="R65" t="str">
        <f t="shared" si="3"/>
        <v/>
      </c>
      <c r="S65" s="9" t="str">
        <f t="shared" si="4"/>
        <v/>
      </c>
    </row>
    <row r="66" spans="17:19" x14ac:dyDescent="0.3">
      <c r="Q66" s="6" t="s">
        <v>70</v>
      </c>
      <c r="R66">
        <f t="shared" si="3"/>
        <v>422886</v>
      </c>
      <c r="S66" s="9">
        <f t="shared" si="2"/>
        <v>0.17093496628230567</v>
      </c>
    </row>
    <row r="67" spans="17:19" x14ac:dyDescent="0.3">
      <c r="Q67" s="6" t="s">
        <v>59</v>
      </c>
      <c r="R67" t="str">
        <f t="shared" si="3"/>
        <v/>
      </c>
      <c r="S67" s="9" t="e">
        <f t="shared" si="2"/>
        <v>#REF!</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1FFE1-DEF5-4982-9D67-B53C65B23300}">
  <dimension ref="C1:P20"/>
  <sheetViews>
    <sheetView tabSelected="1" zoomScale="79" zoomScaleNormal="160" workbookViewId="0">
      <selection activeCell="M34" sqref="M34"/>
    </sheetView>
  </sheetViews>
  <sheetFormatPr defaultRowHeight="14.4" x14ac:dyDescent="0.3"/>
  <cols>
    <col min="6" max="6" width="10.33203125" customWidth="1"/>
  </cols>
  <sheetData>
    <row r="1" spans="3:11" x14ac:dyDescent="0.3">
      <c r="C1" s="11"/>
    </row>
    <row r="16" spans="3:11" ht="15.6" x14ac:dyDescent="0.3">
      <c r="K16" s="12"/>
    </row>
    <row r="20" spans="16:16" x14ac:dyDescent="0.3">
      <c r="P20"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workbookViewId="0">
      <pane ySplit="1" topLeftCell="A2" activePane="bottomLeft" state="frozen"/>
      <selection pane="bottomLeft"/>
    </sheetView>
  </sheetViews>
  <sheetFormatPr defaultRowHeight="14.4" x14ac:dyDescent="0.3"/>
  <cols>
    <col min="1" max="1" width="15" customWidth="1"/>
    <col min="2" max="2" width="28" customWidth="1"/>
    <col min="3" max="3" width="16" customWidth="1"/>
    <col min="4" max="4" width="20" customWidth="1"/>
    <col min="5" max="5" width="18" customWidth="1"/>
    <col min="6" max="9" width="12" customWidth="1"/>
    <col min="10" max="11" width="16" customWidth="1"/>
    <col min="12" max="12" width="14"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v>45383</v>
      </c>
      <c r="B2" t="s">
        <v>12</v>
      </c>
      <c r="C2" t="s">
        <v>13</v>
      </c>
      <c r="D2" t="s">
        <v>14</v>
      </c>
      <c r="E2" t="s">
        <v>15</v>
      </c>
      <c r="F2" t="s">
        <v>16</v>
      </c>
      <c r="G2">
        <v>41</v>
      </c>
      <c r="H2" s="3">
        <v>528</v>
      </c>
      <c r="I2" s="3">
        <v>729</v>
      </c>
      <c r="J2" s="3">
        <v>21648</v>
      </c>
      <c r="K2" s="3">
        <v>29889</v>
      </c>
      <c r="L2" s="3">
        <v>8241</v>
      </c>
    </row>
    <row r="3" spans="1:12" x14ac:dyDescent="0.3">
      <c r="A3" s="2">
        <v>45384</v>
      </c>
      <c r="B3" t="s">
        <v>17</v>
      </c>
      <c r="C3" t="s">
        <v>18</v>
      </c>
      <c r="D3" t="s">
        <v>19</v>
      </c>
      <c r="E3" t="s">
        <v>20</v>
      </c>
      <c r="F3" t="s">
        <v>16</v>
      </c>
      <c r="G3">
        <v>14</v>
      </c>
      <c r="H3" s="3">
        <v>330</v>
      </c>
      <c r="I3" s="3">
        <v>441</v>
      </c>
      <c r="J3" s="3">
        <v>4620</v>
      </c>
      <c r="K3" s="3">
        <v>6174</v>
      </c>
      <c r="L3" s="3">
        <v>1554</v>
      </c>
    </row>
    <row r="4" spans="1:12" x14ac:dyDescent="0.3">
      <c r="A4" s="2">
        <v>45385</v>
      </c>
      <c r="B4" t="s">
        <v>21</v>
      </c>
      <c r="C4" t="s">
        <v>18</v>
      </c>
      <c r="D4" t="s">
        <v>22</v>
      </c>
      <c r="E4" t="s">
        <v>23</v>
      </c>
      <c r="F4" t="s">
        <v>24</v>
      </c>
      <c r="G4">
        <v>93</v>
      </c>
      <c r="H4" s="3">
        <v>858</v>
      </c>
      <c r="I4" s="3">
        <v>1414</v>
      </c>
      <c r="J4" s="3">
        <v>79794</v>
      </c>
      <c r="K4" s="3">
        <v>131502</v>
      </c>
      <c r="L4" s="3">
        <v>51708</v>
      </c>
    </row>
    <row r="5" spans="1:12" x14ac:dyDescent="0.3">
      <c r="A5" s="2">
        <v>45386</v>
      </c>
      <c r="B5" t="s">
        <v>25</v>
      </c>
      <c r="C5" t="s">
        <v>18</v>
      </c>
      <c r="D5" t="s">
        <v>26</v>
      </c>
      <c r="E5" t="s">
        <v>27</v>
      </c>
      <c r="F5" t="s">
        <v>24</v>
      </c>
      <c r="G5">
        <v>30</v>
      </c>
      <c r="H5" s="3">
        <v>732</v>
      </c>
      <c r="I5" s="3">
        <v>1151</v>
      </c>
      <c r="J5" s="3">
        <v>21960</v>
      </c>
      <c r="K5" s="3">
        <v>34530</v>
      </c>
      <c r="L5" s="3">
        <v>12570</v>
      </c>
    </row>
    <row r="6" spans="1:12" x14ac:dyDescent="0.3">
      <c r="A6" s="2">
        <v>45387</v>
      </c>
      <c r="B6" t="s">
        <v>28</v>
      </c>
      <c r="C6" t="s">
        <v>29</v>
      </c>
      <c r="D6" t="s">
        <v>30</v>
      </c>
      <c r="E6" t="s">
        <v>31</v>
      </c>
      <c r="F6" t="s">
        <v>24</v>
      </c>
      <c r="G6">
        <v>58</v>
      </c>
      <c r="H6" s="3">
        <v>399</v>
      </c>
      <c r="I6" s="3">
        <v>634</v>
      </c>
      <c r="J6" s="3">
        <v>23142</v>
      </c>
      <c r="K6" s="3">
        <v>36772</v>
      </c>
      <c r="L6" s="3">
        <v>13630</v>
      </c>
    </row>
    <row r="7" spans="1:12" x14ac:dyDescent="0.3">
      <c r="A7" s="2">
        <v>45388</v>
      </c>
      <c r="B7" t="s">
        <v>32</v>
      </c>
      <c r="C7" t="s">
        <v>18</v>
      </c>
      <c r="D7" t="s">
        <v>26</v>
      </c>
      <c r="E7" t="s">
        <v>27</v>
      </c>
      <c r="F7" t="s">
        <v>24</v>
      </c>
      <c r="G7">
        <v>68</v>
      </c>
      <c r="H7" s="3">
        <v>849</v>
      </c>
      <c r="I7" s="3">
        <v>1161</v>
      </c>
      <c r="J7" s="3">
        <v>57732</v>
      </c>
      <c r="K7" s="3">
        <v>78948</v>
      </c>
      <c r="L7" s="3">
        <v>21216</v>
      </c>
    </row>
    <row r="8" spans="1:12" x14ac:dyDescent="0.3">
      <c r="A8" s="2">
        <v>45389</v>
      </c>
      <c r="B8" t="s">
        <v>33</v>
      </c>
      <c r="C8" t="s">
        <v>13</v>
      </c>
      <c r="D8" t="s">
        <v>34</v>
      </c>
      <c r="E8" t="s">
        <v>35</v>
      </c>
      <c r="F8" t="s">
        <v>16</v>
      </c>
      <c r="G8">
        <v>83</v>
      </c>
      <c r="H8" s="3">
        <v>496</v>
      </c>
      <c r="I8" s="3">
        <v>951</v>
      </c>
      <c r="J8" s="3">
        <v>41168</v>
      </c>
      <c r="K8" s="3">
        <v>78933</v>
      </c>
      <c r="L8" s="3">
        <v>37765</v>
      </c>
    </row>
    <row r="9" spans="1:12" x14ac:dyDescent="0.3">
      <c r="A9" s="2">
        <v>45390</v>
      </c>
      <c r="B9" t="s">
        <v>36</v>
      </c>
      <c r="C9" t="s">
        <v>29</v>
      </c>
      <c r="D9" t="s">
        <v>30</v>
      </c>
      <c r="E9" t="s">
        <v>31</v>
      </c>
      <c r="F9" t="s">
        <v>24</v>
      </c>
      <c r="G9">
        <v>22</v>
      </c>
      <c r="H9" s="3">
        <v>689</v>
      </c>
      <c r="I9" s="3">
        <v>1043</v>
      </c>
      <c r="J9" s="3">
        <v>15158</v>
      </c>
      <c r="K9" s="3">
        <v>22946</v>
      </c>
      <c r="L9" s="3">
        <v>7788</v>
      </c>
    </row>
    <row r="10" spans="1:12" x14ac:dyDescent="0.3">
      <c r="A10" s="2">
        <v>45391</v>
      </c>
      <c r="B10" t="s">
        <v>12</v>
      </c>
      <c r="C10" t="s">
        <v>37</v>
      </c>
      <c r="D10" t="s">
        <v>38</v>
      </c>
      <c r="E10" t="s">
        <v>39</v>
      </c>
      <c r="F10" t="s">
        <v>16</v>
      </c>
      <c r="G10">
        <v>36</v>
      </c>
      <c r="H10" s="3">
        <v>986</v>
      </c>
      <c r="I10" s="3">
        <v>1482</v>
      </c>
      <c r="J10" s="3">
        <v>35496</v>
      </c>
      <c r="K10" s="3">
        <v>53352</v>
      </c>
      <c r="L10" s="3">
        <v>17856</v>
      </c>
    </row>
    <row r="11" spans="1:12" x14ac:dyDescent="0.3">
      <c r="A11" s="2">
        <v>45392</v>
      </c>
      <c r="B11" t="s">
        <v>40</v>
      </c>
      <c r="C11" t="s">
        <v>13</v>
      </c>
      <c r="D11" t="s">
        <v>34</v>
      </c>
      <c r="E11" t="s">
        <v>41</v>
      </c>
      <c r="F11" t="s">
        <v>24</v>
      </c>
      <c r="G11">
        <v>78</v>
      </c>
      <c r="H11" s="3">
        <v>550</v>
      </c>
      <c r="I11" s="3">
        <v>772</v>
      </c>
      <c r="J11" s="3">
        <v>42900</v>
      </c>
      <c r="K11" s="3">
        <v>60216</v>
      </c>
      <c r="L11" s="3">
        <v>17316</v>
      </c>
    </row>
    <row r="12" spans="1:12" x14ac:dyDescent="0.3">
      <c r="A12" s="2">
        <v>45393</v>
      </c>
      <c r="B12" t="s">
        <v>33</v>
      </c>
      <c r="C12" t="s">
        <v>37</v>
      </c>
      <c r="D12" t="s">
        <v>42</v>
      </c>
      <c r="E12" t="s">
        <v>43</v>
      </c>
      <c r="F12" t="s">
        <v>16</v>
      </c>
      <c r="G12">
        <v>17</v>
      </c>
      <c r="H12" s="3">
        <v>534</v>
      </c>
      <c r="I12" s="3">
        <v>1084</v>
      </c>
      <c r="J12" s="3">
        <v>9078</v>
      </c>
      <c r="K12" s="3">
        <v>18428</v>
      </c>
      <c r="L12" s="3">
        <v>9350</v>
      </c>
    </row>
    <row r="13" spans="1:12" x14ac:dyDescent="0.3">
      <c r="A13" s="2">
        <v>45394</v>
      </c>
      <c r="B13" t="s">
        <v>44</v>
      </c>
      <c r="C13" t="s">
        <v>45</v>
      </c>
      <c r="D13" t="s">
        <v>46</v>
      </c>
      <c r="E13" t="s">
        <v>31</v>
      </c>
      <c r="F13" t="s">
        <v>24</v>
      </c>
      <c r="G13">
        <v>82</v>
      </c>
      <c r="H13" s="3">
        <v>622</v>
      </c>
      <c r="I13" s="3">
        <v>903</v>
      </c>
      <c r="J13" s="3">
        <v>51004</v>
      </c>
      <c r="K13" s="3">
        <v>74046</v>
      </c>
      <c r="L13" s="3">
        <v>23042</v>
      </c>
    </row>
    <row r="14" spans="1:12" x14ac:dyDescent="0.3">
      <c r="A14" s="2">
        <v>45395</v>
      </c>
      <c r="B14" t="s">
        <v>47</v>
      </c>
      <c r="C14" t="s">
        <v>45</v>
      </c>
      <c r="D14" t="s">
        <v>48</v>
      </c>
      <c r="E14" t="s">
        <v>49</v>
      </c>
      <c r="F14" t="s">
        <v>16</v>
      </c>
      <c r="G14">
        <v>27</v>
      </c>
      <c r="H14" s="3">
        <v>552</v>
      </c>
      <c r="I14" s="3">
        <v>1080</v>
      </c>
      <c r="J14" s="3">
        <v>14904</v>
      </c>
      <c r="K14" s="3">
        <v>29160</v>
      </c>
      <c r="L14" s="3">
        <v>14256</v>
      </c>
    </row>
    <row r="15" spans="1:12" x14ac:dyDescent="0.3">
      <c r="A15" s="2">
        <v>45396</v>
      </c>
      <c r="B15" t="s">
        <v>50</v>
      </c>
      <c r="C15" t="s">
        <v>37</v>
      </c>
      <c r="D15" t="s">
        <v>42</v>
      </c>
      <c r="E15" t="s">
        <v>51</v>
      </c>
      <c r="F15" t="s">
        <v>16</v>
      </c>
      <c r="G15">
        <v>56</v>
      </c>
      <c r="H15" s="3">
        <v>524</v>
      </c>
      <c r="I15" s="3">
        <v>1151</v>
      </c>
      <c r="J15" s="3">
        <v>29344</v>
      </c>
      <c r="K15" s="3">
        <v>64456</v>
      </c>
      <c r="L15" s="3">
        <v>35112</v>
      </c>
    </row>
    <row r="16" spans="1:12" x14ac:dyDescent="0.3">
      <c r="A16" s="2">
        <v>45397</v>
      </c>
      <c r="B16" t="s">
        <v>28</v>
      </c>
      <c r="C16" t="s">
        <v>18</v>
      </c>
      <c r="D16" t="s">
        <v>52</v>
      </c>
      <c r="E16" t="s">
        <v>31</v>
      </c>
      <c r="F16" t="s">
        <v>24</v>
      </c>
      <c r="G16">
        <v>24</v>
      </c>
      <c r="H16" s="3">
        <v>456</v>
      </c>
      <c r="I16" s="3">
        <v>841</v>
      </c>
      <c r="J16" s="3">
        <v>10944</v>
      </c>
      <c r="K16" s="3">
        <v>20184</v>
      </c>
      <c r="L16" s="3">
        <v>9240</v>
      </c>
    </row>
    <row r="17" spans="1:12" x14ac:dyDescent="0.3">
      <c r="A17" s="2">
        <v>45398</v>
      </c>
      <c r="B17" t="s">
        <v>40</v>
      </c>
      <c r="C17" t="s">
        <v>45</v>
      </c>
      <c r="D17" t="s">
        <v>53</v>
      </c>
      <c r="E17" t="s">
        <v>31</v>
      </c>
      <c r="F17" t="s">
        <v>16</v>
      </c>
      <c r="G17">
        <v>58</v>
      </c>
      <c r="H17" s="3">
        <v>910</v>
      </c>
      <c r="I17" s="3">
        <v>1998</v>
      </c>
      <c r="J17" s="3">
        <v>52780</v>
      </c>
      <c r="K17" s="3">
        <v>115884</v>
      </c>
      <c r="L17" s="3">
        <v>63104</v>
      </c>
    </row>
    <row r="18" spans="1:12" x14ac:dyDescent="0.3">
      <c r="A18" s="2">
        <v>45399</v>
      </c>
      <c r="B18" t="s">
        <v>54</v>
      </c>
      <c r="C18" t="s">
        <v>37</v>
      </c>
      <c r="D18" t="s">
        <v>42</v>
      </c>
      <c r="E18" t="s">
        <v>55</v>
      </c>
      <c r="F18" t="s">
        <v>24</v>
      </c>
      <c r="G18">
        <v>97</v>
      </c>
      <c r="H18" s="3">
        <v>417</v>
      </c>
      <c r="I18" s="3">
        <v>791</v>
      </c>
      <c r="J18" s="3">
        <v>40449</v>
      </c>
      <c r="K18" s="3">
        <v>76727</v>
      </c>
      <c r="L18" s="3">
        <v>36278</v>
      </c>
    </row>
    <row r="19" spans="1:12" x14ac:dyDescent="0.3">
      <c r="A19" s="2">
        <v>45400</v>
      </c>
      <c r="B19" t="s">
        <v>50</v>
      </c>
      <c r="C19" t="s">
        <v>37</v>
      </c>
      <c r="D19" t="s">
        <v>56</v>
      </c>
      <c r="E19" t="s">
        <v>31</v>
      </c>
      <c r="F19" t="s">
        <v>16</v>
      </c>
      <c r="G19">
        <v>65</v>
      </c>
      <c r="H19" s="3">
        <v>461</v>
      </c>
      <c r="I19" s="3">
        <v>774</v>
      </c>
      <c r="J19" s="3">
        <v>29965</v>
      </c>
      <c r="K19" s="3">
        <v>50310</v>
      </c>
      <c r="L19" s="3">
        <v>20345</v>
      </c>
    </row>
    <row r="20" spans="1:12" x14ac:dyDescent="0.3">
      <c r="A20" s="2">
        <v>45401</v>
      </c>
      <c r="B20" t="s">
        <v>57</v>
      </c>
      <c r="C20" t="s">
        <v>37</v>
      </c>
      <c r="D20" t="s">
        <v>42</v>
      </c>
      <c r="E20" t="s">
        <v>27</v>
      </c>
      <c r="F20" t="s">
        <v>24</v>
      </c>
      <c r="G20">
        <v>74</v>
      </c>
      <c r="H20" s="3">
        <v>408</v>
      </c>
      <c r="I20" s="3">
        <v>847</v>
      </c>
      <c r="J20" s="3">
        <v>30192</v>
      </c>
      <c r="K20" s="3">
        <v>62678</v>
      </c>
      <c r="L20" s="3">
        <v>32486</v>
      </c>
    </row>
    <row r="21" spans="1:12" x14ac:dyDescent="0.3">
      <c r="A21" s="2">
        <v>45402</v>
      </c>
      <c r="B21" t="s">
        <v>58</v>
      </c>
      <c r="C21" t="s">
        <v>18</v>
      </c>
      <c r="D21" t="s">
        <v>22</v>
      </c>
      <c r="E21" t="s">
        <v>43</v>
      </c>
      <c r="F21" t="s">
        <v>24</v>
      </c>
      <c r="G21">
        <v>57</v>
      </c>
      <c r="H21" s="3">
        <v>465</v>
      </c>
      <c r="I21" s="3">
        <v>819</v>
      </c>
      <c r="J21" s="3">
        <v>26505</v>
      </c>
      <c r="K21" s="3">
        <v>46683</v>
      </c>
      <c r="L21" s="3">
        <v>20178</v>
      </c>
    </row>
    <row r="22" spans="1:12" x14ac:dyDescent="0.3">
      <c r="A22" s="2">
        <v>45403</v>
      </c>
      <c r="B22" t="s">
        <v>54</v>
      </c>
      <c r="C22" t="s">
        <v>13</v>
      </c>
      <c r="D22" t="s">
        <v>34</v>
      </c>
      <c r="E22" t="s">
        <v>39</v>
      </c>
      <c r="F22" t="s">
        <v>16</v>
      </c>
      <c r="G22">
        <v>12</v>
      </c>
      <c r="H22" s="3">
        <v>414</v>
      </c>
      <c r="I22" s="3">
        <v>882</v>
      </c>
      <c r="J22" s="3">
        <v>4968</v>
      </c>
      <c r="K22" s="3">
        <v>10584</v>
      </c>
      <c r="L22" s="3">
        <v>5616</v>
      </c>
    </row>
    <row r="23" spans="1:12" x14ac:dyDescent="0.3">
      <c r="A23" s="2">
        <v>45404</v>
      </c>
      <c r="B23" t="s">
        <v>58</v>
      </c>
      <c r="C23" t="s">
        <v>29</v>
      </c>
      <c r="D23" t="s">
        <v>59</v>
      </c>
      <c r="E23" t="s">
        <v>43</v>
      </c>
      <c r="F23" t="s">
        <v>24</v>
      </c>
      <c r="G23">
        <v>20</v>
      </c>
      <c r="H23" s="3">
        <v>797</v>
      </c>
      <c r="I23" s="3">
        <v>1614</v>
      </c>
      <c r="J23" s="3">
        <v>15940</v>
      </c>
      <c r="K23" s="3">
        <v>32280</v>
      </c>
      <c r="L23" s="3">
        <v>16340</v>
      </c>
    </row>
    <row r="24" spans="1:12" x14ac:dyDescent="0.3">
      <c r="A24" s="2">
        <v>45405</v>
      </c>
      <c r="B24" t="s">
        <v>50</v>
      </c>
      <c r="C24" t="s">
        <v>29</v>
      </c>
      <c r="D24" t="s">
        <v>60</v>
      </c>
      <c r="E24" t="s">
        <v>41</v>
      </c>
      <c r="F24" t="s">
        <v>16</v>
      </c>
      <c r="G24">
        <v>80</v>
      </c>
      <c r="H24" s="3">
        <v>469</v>
      </c>
      <c r="I24" s="3">
        <v>704</v>
      </c>
      <c r="J24" s="3">
        <v>37520</v>
      </c>
      <c r="K24" s="3">
        <v>56320</v>
      </c>
      <c r="L24" s="3">
        <v>18800</v>
      </c>
    </row>
    <row r="25" spans="1:12" x14ac:dyDescent="0.3">
      <c r="A25" s="2">
        <v>45406</v>
      </c>
      <c r="B25" t="s">
        <v>61</v>
      </c>
      <c r="C25" t="s">
        <v>45</v>
      </c>
      <c r="D25" t="s">
        <v>62</v>
      </c>
      <c r="E25" t="s">
        <v>63</v>
      </c>
      <c r="F25" t="s">
        <v>24</v>
      </c>
      <c r="G25">
        <v>49</v>
      </c>
      <c r="H25" s="3">
        <v>708</v>
      </c>
      <c r="I25" s="3">
        <v>1554</v>
      </c>
      <c r="J25" s="3">
        <v>34692</v>
      </c>
      <c r="K25" s="3">
        <v>76146</v>
      </c>
      <c r="L25" s="3">
        <v>41454</v>
      </c>
    </row>
    <row r="26" spans="1:12" x14ac:dyDescent="0.3">
      <c r="A26" s="2">
        <v>45407</v>
      </c>
      <c r="B26" t="s">
        <v>12</v>
      </c>
      <c r="C26" t="s">
        <v>37</v>
      </c>
      <c r="D26" t="s">
        <v>64</v>
      </c>
      <c r="E26" t="s">
        <v>63</v>
      </c>
      <c r="F26" t="s">
        <v>16</v>
      </c>
      <c r="G26">
        <v>25</v>
      </c>
      <c r="H26" s="3">
        <v>553</v>
      </c>
      <c r="I26" s="3">
        <v>809</v>
      </c>
      <c r="J26" s="3">
        <v>13825</v>
      </c>
      <c r="K26" s="3">
        <v>20225</v>
      </c>
      <c r="L26" s="3">
        <v>6400</v>
      </c>
    </row>
    <row r="27" spans="1:12" x14ac:dyDescent="0.3">
      <c r="A27" s="2">
        <v>45408</v>
      </c>
      <c r="B27" t="s">
        <v>44</v>
      </c>
      <c r="C27" t="s">
        <v>13</v>
      </c>
      <c r="D27" t="s">
        <v>34</v>
      </c>
      <c r="E27" t="s">
        <v>65</v>
      </c>
      <c r="F27" t="s">
        <v>24</v>
      </c>
      <c r="G27">
        <v>85</v>
      </c>
      <c r="H27" s="3">
        <v>525</v>
      </c>
      <c r="I27" s="3">
        <v>659</v>
      </c>
      <c r="J27" s="3">
        <v>44625</v>
      </c>
      <c r="K27" s="3">
        <v>56015</v>
      </c>
      <c r="L27" s="3">
        <v>11390</v>
      </c>
    </row>
    <row r="28" spans="1:12" x14ac:dyDescent="0.3">
      <c r="A28" s="2">
        <v>45409</v>
      </c>
      <c r="B28" t="s">
        <v>66</v>
      </c>
      <c r="C28" t="s">
        <v>13</v>
      </c>
      <c r="D28" t="s">
        <v>67</v>
      </c>
      <c r="E28" t="s">
        <v>31</v>
      </c>
      <c r="F28" t="s">
        <v>24</v>
      </c>
      <c r="G28">
        <v>52</v>
      </c>
      <c r="H28" s="3">
        <v>372</v>
      </c>
      <c r="I28" s="3">
        <v>646</v>
      </c>
      <c r="J28" s="3">
        <v>19344</v>
      </c>
      <c r="K28" s="3">
        <v>33592</v>
      </c>
      <c r="L28" s="3">
        <v>14248</v>
      </c>
    </row>
    <row r="29" spans="1:12" x14ac:dyDescent="0.3">
      <c r="A29" s="2">
        <v>45410</v>
      </c>
      <c r="B29" t="s">
        <v>68</v>
      </c>
      <c r="C29" t="s">
        <v>45</v>
      </c>
      <c r="D29" t="s">
        <v>62</v>
      </c>
      <c r="E29" t="s">
        <v>65</v>
      </c>
      <c r="F29" t="s">
        <v>24</v>
      </c>
      <c r="G29">
        <v>83</v>
      </c>
      <c r="H29" s="3">
        <v>890</v>
      </c>
      <c r="I29" s="3">
        <v>1512</v>
      </c>
      <c r="J29" s="3">
        <v>73870</v>
      </c>
      <c r="K29" s="3">
        <v>125496</v>
      </c>
      <c r="L29" s="3">
        <v>51626</v>
      </c>
    </row>
    <row r="30" spans="1:12" x14ac:dyDescent="0.3">
      <c r="A30" s="2">
        <v>45411</v>
      </c>
      <c r="B30" t="s">
        <v>47</v>
      </c>
      <c r="C30" t="s">
        <v>45</v>
      </c>
      <c r="D30" t="s">
        <v>62</v>
      </c>
      <c r="E30" t="s">
        <v>31</v>
      </c>
      <c r="F30" t="s">
        <v>24</v>
      </c>
      <c r="G30">
        <v>94</v>
      </c>
      <c r="H30" s="3">
        <v>741</v>
      </c>
      <c r="I30" s="3">
        <v>1175</v>
      </c>
      <c r="J30" s="3">
        <v>69654</v>
      </c>
      <c r="K30" s="3">
        <v>110450</v>
      </c>
      <c r="L30" s="3">
        <v>40796</v>
      </c>
    </row>
    <row r="31" spans="1:12" x14ac:dyDescent="0.3">
      <c r="A31" s="2">
        <v>45412</v>
      </c>
      <c r="B31" t="s">
        <v>69</v>
      </c>
      <c r="C31" t="s">
        <v>45</v>
      </c>
      <c r="D31" t="s">
        <v>70</v>
      </c>
      <c r="E31" t="s">
        <v>41</v>
      </c>
      <c r="F31" t="s">
        <v>24</v>
      </c>
      <c r="G31">
        <v>17</v>
      </c>
      <c r="H31" s="3">
        <v>712</v>
      </c>
      <c r="I31" s="3">
        <v>1382</v>
      </c>
      <c r="J31" s="3">
        <v>12104</v>
      </c>
      <c r="K31" s="3">
        <v>23494</v>
      </c>
      <c r="L31" s="3">
        <v>11390</v>
      </c>
    </row>
    <row r="32" spans="1:12" x14ac:dyDescent="0.3">
      <c r="A32" s="2">
        <v>45413</v>
      </c>
      <c r="B32" t="s">
        <v>17</v>
      </c>
      <c r="C32" t="s">
        <v>29</v>
      </c>
      <c r="D32" t="s">
        <v>60</v>
      </c>
      <c r="E32" t="s">
        <v>43</v>
      </c>
      <c r="F32" t="s">
        <v>16</v>
      </c>
      <c r="G32">
        <v>27</v>
      </c>
      <c r="H32" s="3">
        <v>732</v>
      </c>
      <c r="I32" s="3">
        <v>1042</v>
      </c>
      <c r="J32" s="3">
        <v>19764</v>
      </c>
      <c r="K32" s="3">
        <v>28134</v>
      </c>
      <c r="L32" s="3">
        <v>8370</v>
      </c>
    </row>
    <row r="33" spans="1:12" x14ac:dyDescent="0.3">
      <c r="A33" s="2">
        <v>45414</v>
      </c>
      <c r="B33" t="s">
        <v>25</v>
      </c>
      <c r="C33" t="s">
        <v>29</v>
      </c>
      <c r="D33" t="s">
        <v>59</v>
      </c>
      <c r="E33" t="s">
        <v>71</v>
      </c>
      <c r="F33" t="s">
        <v>24</v>
      </c>
      <c r="G33">
        <v>16</v>
      </c>
      <c r="H33" s="3">
        <v>967</v>
      </c>
      <c r="I33" s="3">
        <v>2126</v>
      </c>
      <c r="J33" s="3">
        <v>15472</v>
      </c>
      <c r="K33" s="3">
        <v>34016</v>
      </c>
      <c r="L33" s="3">
        <v>18544</v>
      </c>
    </row>
    <row r="34" spans="1:12" x14ac:dyDescent="0.3">
      <c r="A34" s="2">
        <v>45415</v>
      </c>
      <c r="B34" t="s">
        <v>72</v>
      </c>
      <c r="C34" t="s">
        <v>13</v>
      </c>
      <c r="D34" t="s">
        <v>67</v>
      </c>
      <c r="E34" t="s">
        <v>49</v>
      </c>
      <c r="F34" t="s">
        <v>16</v>
      </c>
      <c r="G34">
        <v>72</v>
      </c>
      <c r="H34" s="3">
        <v>792</v>
      </c>
      <c r="I34" s="3">
        <v>1150</v>
      </c>
      <c r="J34" s="3">
        <v>57024</v>
      </c>
      <c r="K34" s="3">
        <v>82800</v>
      </c>
      <c r="L34" s="3">
        <v>25776</v>
      </c>
    </row>
    <row r="35" spans="1:12" x14ac:dyDescent="0.3">
      <c r="A35" s="2">
        <v>45416</v>
      </c>
      <c r="B35" t="s">
        <v>33</v>
      </c>
      <c r="C35" t="s">
        <v>13</v>
      </c>
      <c r="D35" t="s">
        <v>67</v>
      </c>
      <c r="E35" t="s">
        <v>51</v>
      </c>
      <c r="F35" t="s">
        <v>24</v>
      </c>
      <c r="G35">
        <v>59</v>
      </c>
      <c r="H35" s="3">
        <v>571</v>
      </c>
      <c r="I35" s="3">
        <v>1216</v>
      </c>
      <c r="J35" s="3">
        <v>33689</v>
      </c>
      <c r="K35" s="3">
        <v>71744</v>
      </c>
      <c r="L35" s="3">
        <v>38055</v>
      </c>
    </row>
    <row r="36" spans="1:12" x14ac:dyDescent="0.3">
      <c r="A36" s="2">
        <v>45417</v>
      </c>
      <c r="B36" t="s">
        <v>25</v>
      </c>
      <c r="C36" t="s">
        <v>37</v>
      </c>
      <c r="D36" t="s">
        <v>64</v>
      </c>
      <c r="E36" t="s">
        <v>15</v>
      </c>
      <c r="F36" t="s">
        <v>16</v>
      </c>
      <c r="G36">
        <v>29</v>
      </c>
      <c r="H36" s="3">
        <v>494</v>
      </c>
      <c r="I36" s="3">
        <v>756</v>
      </c>
      <c r="J36" s="3">
        <v>14326</v>
      </c>
      <c r="K36" s="3">
        <v>21924</v>
      </c>
      <c r="L36" s="3">
        <v>7598</v>
      </c>
    </row>
    <row r="37" spans="1:12" x14ac:dyDescent="0.3">
      <c r="A37" s="2">
        <v>45418</v>
      </c>
      <c r="B37" t="s">
        <v>36</v>
      </c>
      <c r="C37" t="s">
        <v>18</v>
      </c>
      <c r="D37" t="s">
        <v>22</v>
      </c>
      <c r="E37" t="s">
        <v>23</v>
      </c>
      <c r="F37" t="s">
        <v>16</v>
      </c>
      <c r="G37">
        <v>17</v>
      </c>
      <c r="H37" s="3">
        <v>351</v>
      </c>
      <c r="I37" s="3">
        <v>633</v>
      </c>
      <c r="J37" s="3">
        <v>5967</v>
      </c>
      <c r="K37" s="3">
        <v>10761</v>
      </c>
      <c r="L37" s="3">
        <v>4794</v>
      </c>
    </row>
    <row r="38" spans="1:12" x14ac:dyDescent="0.3">
      <c r="A38" s="2">
        <v>45419</v>
      </c>
      <c r="B38" t="s">
        <v>54</v>
      </c>
      <c r="C38" t="s">
        <v>18</v>
      </c>
      <c r="D38" t="s">
        <v>73</v>
      </c>
      <c r="E38" t="s">
        <v>23</v>
      </c>
      <c r="F38" t="s">
        <v>24</v>
      </c>
      <c r="G38">
        <v>33</v>
      </c>
      <c r="H38" s="3">
        <v>370</v>
      </c>
      <c r="I38" s="3">
        <v>671</v>
      </c>
      <c r="J38" s="3">
        <v>12210</v>
      </c>
      <c r="K38" s="3">
        <v>22143</v>
      </c>
      <c r="L38" s="3">
        <v>9933</v>
      </c>
    </row>
    <row r="39" spans="1:12" x14ac:dyDescent="0.3">
      <c r="A39" s="2">
        <v>45420</v>
      </c>
      <c r="B39" t="s">
        <v>40</v>
      </c>
      <c r="C39" t="s">
        <v>29</v>
      </c>
      <c r="D39" t="s">
        <v>74</v>
      </c>
      <c r="E39" t="s">
        <v>31</v>
      </c>
      <c r="F39" t="s">
        <v>24</v>
      </c>
      <c r="G39">
        <v>84</v>
      </c>
      <c r="H39" s="3">
        <v>908</v>
      </c>
      <c r="I39" s="3">
        <v>1169</v>
      </c>
      <c r="J39" s="3">
        <v>76272</v>
      </c>
      <c r="K39" s="3">
        <v>98196</v>
      </c>
      <c r="L39" s="3">
        <v>21924</v>
      </c>
    </row>
    <row r="40" spans="1:12" x14ac:dyDescent="0.3">
      <c r="A40" s="2">
        <v>45421</v>
      </c>
      <c r="B40" t="s">
        <v>75</v>
      </c>
      <c r="C40" t="s">
        <v>45</v>
      </c>
      <c r="D40" t="s">
        <v>53</v>
      </c>
      <c r="E40" t="s">
        <v>20</v>
      </c>
      <c r="F40" t="s">
        <v>16</v>
      </c>
      <c r="G40">
        <v>43</v>
      </c>
      <c r="H40" s="3">
        <v>509</v>
      </c>
      <c r="I40" s="3">
        <v>960</v>
      </c>
      <c r="J40" s="3">
        <v>21887</v>
      </c>
      <c r="K40" s="3">
        <v>41280</v>
      </c>
      <c r="L40" s="3">
        <v>19393</v>
      </c>
    </row>
    <row r="41" spans="1:12" x14ac:dyDescent="0.3">
      <c r="A41" s="2">
        <v>45422</v>
      </c>
      <c r="B41" t="s">
        <v>44</v>
      </c>
      <c r="C41" t="s">
        <v>29</v>
      </c>
      <c r="D41" t="s">
        <v>30</v>
      </c>
      <c r="E41" t="s">
        <v>51</v>
      </c>
      <c r="F41" t="s">
        <v>24</v>
      </c>
      <c r="G41">
        <v>95</v>
      </c>
      <c r="H41" s="3">
        <v>960</v>
      </c>
      <c r="I41" s="3">
        <v>1473</v>
      </c>
      <c r="J41" s="3">
        <v>91200</v>
      </c>
      <c r="K41" s="3">
        <v>139935</v>
      </c>
      <c r="L41" s="3">
        <v>48735</v>
      </c>
    </row>
    <row r="42" spans="1:12" x14ac:dyDescent="0.3">
      <c r="A42" s="2">
        <v>45423</v>
      </c>
      <c r="B42" t="s">
        <v>44</v>
      </c>
      <c r="C42" t="s">
        <v>13</v>
      </c>
      <c r="D42" t="s">
        <v>14</v>
      </c>
      <c r="E42" t="s">
        <v>71</v>
      </c>
      <c r="F42" t="s">
        <v>24</v>
      </c>
      <c r="G42">
        <v>19</v>
      </c>
      <c r="H42" s="3">
        <v>850</v>
      </c>
      <c r="I42" s="3">
        <v>1234</v>
      </c>
      <c r="J42" s="3">
        <v>16150</v>
      </c>
      <c r="K42" s="3">
        <v>23446</v>
      </c>
      <c r="L42" s="3">
        <v>7296</v>
      </c>
    </row>
    <row r="43" spans="1:12" x14ac:dyDescent="0.3">
      <c r="A43" s="2">
        <v>45424</v>
      </c>
      <c r="B43" t="s">
        <v>68</v>
      </c>
      <c r="C43" t="s">
        <v>29</v>
      </c>
      <c r="D43" t="s">
        <v>30</v>
      </c>
      <c r="E43" t="s">
        <v>63</v>
      </c>
      <c r="F43" t="s">
        <v>24</v>
      </c>
      <c r="G43">
        <v>41</v>
      </c>
      <c r="H43" s="3">
        <v>678</v>
      </c>
      <c r="I43" s="3">
        <v>1031</v>
      </c>
      <c r="J43" s="3">
        <v>27798</v>
      </c>
      <c r="K43" s="3">
        <v>42271</v>
      </c>
      <c r="L43" s="3">
        <v>14473</v>
      </c>
    </row>
    <row r="44" spans="1:12" x14ac:dyDescent="0.3">
      <c r="A44" s="2">
        <v>45425</v>
      </c>
      <c r="B44" t="s">
        <v>25</v>
      </c>
      <c r="C44" t="s">
        <v>18</v>
      </c>
      <c r="D44" t="s">
        <v>26</v>
      </c>
      <c r="E44" t="s">
        <v>20</v>
      </c>
      <c r="F44" t="s">
        <v>24</v>
      </c>
      <c r="G44">
        <v>95</v>
      </c>
      <c r="H44" s="3">
        <v>867</v>
      </c>
      <c r="I44" s="3">
        <v>1330</v>
      </c>
      <c r="J44" s="3">
        <v>82365</v>
      </c>
      <c r="K44" s="3">
        <v>126350</v>
      </c>
      <c r="L44" s="3">
        <v>43985</v>
      </c>
    </row>
    <row r="45" spans="1:12" x14ac:dyDescent="0.3">
      <c r="A45" s="2">
        <v>45426</v>
      </c>
      <c r="B45" t="s">
        <v>40</v>
      </c>
      <c r="C45" t="s">
        <v>13</v>
      </c>
      <c r="D45" t="s">
        <v>67</v>
      </c>
      <c r="E45" t="s">
        <v>35</v>
      </c>
      <c r="F45" t="s">
        <v>24</v>
      </c>
      <c r="G45">
        <v>23</v>
      </c>
      <c r="H45" s="3">
        <v>866</v>
      </c>
      <c r="I45" s="3">
        <v>1210</v>
      </c>
      <c r="J45" s="3">
        <v>19918</v>
      </c>
      <c r="K45" s="3">
        <v>27830</v>
      </c>
      <c r="L45" s="3">
        <v>7912</v>
      </c>
    </row>
    <row r="46" spans="1:12" x14ac:dyDescent="0.3">
      <c r="A46" s="2">
        <v>45427</v>
      </c>
      <c r="B46" t="s">
        <v>58</v>
      </c>
      <c r="C46" t="s">
        <v>18</v>
      </c>
      <c r="D46" t="s">
        <v>73</v>
      </c>
      <c r="E46" t="s">
        <v>15</v>
      </c>
      <c r="F46" t="s">
        <v>16</v>
      </c>
      <c r="G46">
        <v>36</v>
      </c>
      <c r="H46" s="3">
        <v>949</v>
      </c>
      <c r="I46" s="3">
        <v>1955</v>
      </c>
      <c r="J46" s="3">
        <v>34164</v>
      </c>
      <c r="K46" s="3">
        <v>70380</v>
      </c>
      <c r="L46" s="3">
        <v>36216</v>
      </c>
    </row>
    <row r="47" spans="1:12" x14ac:dyDescent="0.3">
      <c r="A47" s="2">
        <v>45428</v>
      </c>
      <c r="B47" t="s">
        <v>54</v>
      </c>
      <c r="C47" t="s">
        <v>45</v>
      </c>
      <c r="D47" t="s">
        <v>46</v>
      </c>
      <c r="E47" t="s">
        <v>63</v>
      </c>
      <c r="F47" t="s">
        <v>24</v>
      </c>
      <c r="G47">
        <v>21</v>
      </c>
      <c r="H47" s="3">
        <v>949</v>
      </c>
      <c r="I47" s="3">
        <v>1568</v>
      </c>
      <c r="J47" s="3">
        <v>19929</v>
      </c>
      <c r="K47" s="3">
        <v>32928</v>
      </c>
      <c r="L47" s="3">
        <v>12999</v>
      </c>
    </row>
    <row r="48" spans="1:12" x14ac:dyDescent="0.3">
      <c r="A48" s="2">
        <v>45429</v>
      </c>
      <c r="B48" t="s">
        <v>68</v>
      </c>
      <c r="C48" t="s">
        <v>13</v>
      </c>
      <c r="D48" t="s">
        <v>14</v>
      </c>
      <c r="E48" t="s">
        <v>39</v>
      </c>
      <c r="F48" t="s">
        <v>24</v>
      </c>
      <c r="G48">
        <v>91</v>
      </c>
      <c r="H48" s="3">
        <v>568</v>
      </c>
      <c r="I48" s="3">
        <v>797</v>
      </c>
      <c r="J48" s="3">
        <v>51688</v>
      </c>
      <c r="K48" s="3">
        <v>72527</v>
      </c>
      <c r="L48" s="3">
        <v>20839</v>
      </c>
    </row>
    <row r="49" spans="1:12" x14ac:dyDescent="0.3">
      <c r="A49" s="2">
        <v>45430</v>
      </c>
      <c r="B49" t="s">
        <v>25</v>
      </c>
      <c r="C49" t="s">
        <v>18</v>
      </c>
      <c r="D49" t="s">
        <v>52</v>
      </c>
      <c r="E49" t="s">
        <v>65</v>
      </c>
      <c r="F49" t="s">
        <v>24</v>
      </c>
      <c r="G49">
        <v>24</v>
      </c>
      <c r="H49" s="3">
        <v>377</v>
      </c>
      <c r="I49" s="3">
        <v>809</v>
      </c>
      <c r="J49" s="3">
        <v>9048</v>
      </c>
      <c r="K49" s="3">
        <v>19416</v>
      </c>
      <c r="L49" s="3">
        <v>10368</v>
      </c>
    </row>
    <row r="50" spans="1:12" x14ac:dyDescent="0.3">
      <c r="A50" s="2">
        <v>45431</v>
      </c>
      <c r="B50" t="s">
        <v>66</v>
      </c>
      <c r="C50" t="s">
        <v>29</v>
      </c>
      <c r="D50" t="s">
        <v>76</v>
      </c>
      <c r="E50" t="s">
        <v>23</v>
      </c>
      <c r="F50" t="s">
        <v>16</v>
      </c>
      <c r="G50">
        <v>84</v>
      </c>
      <c r="H50" s="3">
        <v>865</v>
      </c>
      <c r="I50" s="3">
        <v>1202</v>
      </c>
      <c r="J50" s="3">
        <v>72660</v>
      </c>
      <c r="K50" s="3">
        <v>100968</v>
      </c>
      <c r="L50" s="3">
        <v>28308</v>
      </c>
    </row>
    <row r="51" spans="1:12" x14ac:dyDescent="0.3">
      <c r="A51" s="2">
        <v>45432</v>
      </c>
      <c r="B51" t="s">
        <v>28</v>
      </c>
      <c r="C51" t="s">
        <v>13</v>
      </c>
      <c r="D51" t="s">
        <v>77</v>
      </c>
      <c r="E51" t="s">
        <v>39</v>
      </c>
      <c r="F51" t="s">
        <v>24</v>
      </c>
      <c r="G51">
        <v>55</v>
      </c>
      <c r="H51" s="3">
        <v>515</v>
      </c>
      <c r="I51" s="3">
        <v>977</v>
      </c>
      <c r="J51" s="3">
        <v>28325</v>
      </c>
      <c r="K51" s="3">
        <v>53735</v>
      </c>
      <c r="L51" s="3">
        <v>25410</v>
      </c>
    </row>
    <row r="52" spans="1:12" x14ac:dyDescent="0.3">
      <c r="A52" s="2">
        <v>45433</v>
      </c>
      <c r="B52" t="s">
        <v>40</v>
      </c>
      <c r="C52" t="s">
        <v>13</v>
      </c>
      <c r="D52" t="s">
        <v>77</v>
      </c>
      <c r="E52" t="s">
        <v>27</v>
      </c>
      <c r="F52" t="s">
        <v>16</v>
      </c>
      <c r="G52">
        <v>89</v>
      </c>
      <c r="H52" s="3">
        <v>458</v>
      </c>
      <c r="I52" s="3">
        <v>975</v>
      </c>
      <c r="J52" s="3">
        <v>40762</v>
      </c>
      <c r="K52" s="3">
        <v>86775</v>
      </c>
      <c r="L52" s="3">
        <v>46013</v>
      </c>
    </row>
    <row r="53" spans="1:12" x14ac:dyDescent="0.3">
      <c r="A53" s="2">
        <v>45434</v>
      </c>
      <c r="B53" t="s">
        <v>21</v>
      </c>
      <c r="C53" t="s">
        <v>29</v>
      </c>
      <c r="D53" t="s">
        <v>60</v>
      </c>
      <c r="E53" t="s">
        <v>63</v>
      </c>
      <c r="F53" t="s">
        <v>16</v>
      </c>
      <c r="G53">
        <v>13</v>
      </c>
      <c r="H53" s="3">
        <v>483</v>
      </c>
      <c r="I53" s="3">
        <v>941</v>
      </c>
      <c r="J53" s="3">
        <v>6279</v>
      </c>
      <c r="K53" s="3">
        <v>12233</v>
      </c>
      <c r="L53" s="3">
        <v>5954</v>
      </c>
    </row>
    <row r="54" spans="1:12" x14ac:dyDescent="0.3">
      <c r="A54" s="2">
        <v>45435</v>
      </c>
      <c r="B54" t="s">
        <v>44</v>
      </c>
      <c r="C54" t="s">
        <v>45</v>
      </c>
      <c r="D54" t="s">
        <v>62</v>
      </c>
      <c r="E54" t="s">
        <v>35</v>
      </c>
      <c r="F54" t="s">
        <v>24</v>
      </c>
      <c r="G54">
        <v>99</v>
      </c>
      <c r="H54" s="3">
        <v>410</v>
      </c>
      <c r="I54" s="3">
        <v>661</v>
      </c>
      <c r="J54" s="3">
        <v>40590</v>
      </c>
      <c r="K54" s="3">
        <v>65439</v>
      </c>
      <c r="L54" s="3">
        <v>24849</v>
      </c>
    </row>
    <row r="55" spans="1:12" x14ac:dyDescent="0.3">
      <c r="A55" s="2">
        <v>45436</v>
      </c>
      <c r="B55" t="s">
        <v>36</v>
      </c>
      <c r="C55" t="s">
        <v>45</v>
      </c>
      <c r="D55" t="s">
        <v>62</v>
      </c>
      <c r="E55" t="s">
        <v>43</v>
      </c>
      <c r="F55" t="s">
        <v>16</v>
      </c>
      <c r="G55">
        <v>54</v>
      </c>
      <c r="H55" s="3">
        <v>612</v>
      </c>
      <c r="I55" s="3">
        <v>1242</v>
      </c>
      <c r="J55" s="3">
        <v>33048</v>
      </c>
      <c r="K55" s="3">
        <v>67068</v>
      </c>
      <c r="L55" s="3">
        <v>34020</v>
      </c>
    </row>
    <row r="56" spans="1:12" x14ac:dyDescent="0.3">
      <c r="A56" s="2">
        <v>45437</v>
      </c>
      <c r="B56" t="s">
        <v>21</v>
      </c>
      <c r="C56" t="s">
        <v>29</v>
      </c>
      <c r="D56" t="s">
        <v>59</v>
      </c>
      <c r="E56" t="s">
        <v>41</v>
      </c>
      <c r="F56" t="s">
        <v>24</v>
      </c>
      <c r="G56">
        <v>61</v>
      </c>
      <c r="H56" s="3">
        <v>636</v>
      </c>
      <c r="I56" s="3">
        <v>963</v>
      </c>
      <c r="J56" s="3">
        <v>38796</v>
      </c>
      <c r="K56" s="3">
        <v>58743</v>
      </c>
      <c r="L56" s="3">
        <v>19947</v>
      </c>
    </row>
    <row r="57" spans="1:12" x14ac:dyDescent="0.3">
      <c r="A57" s="2">
        <v>45438</v>
      </c>
      <c r="B57" t="s">
        <v>75</v>
      </c>
      <c r="C57" t="s">
        <v>37</v>
      </c>
      <c r="D57" t="s">
        <v>56</v>
      </c>
      <c r="E57" t="s">
        <v>41</v>
      </c>
      <c r="F57" t="s">
        <v>16</v>
      </c>
      <c r="G57">
        <v>96</v>
      </c>
      <c r="H57" s="3">
        <v>849</v>
      </c>
      <c r="I57" s="3">
        <v>1328</v>
      </c>
      <c r="J57" s="3">
        <v>81504</v>
      </c>
      <c r="K57" s="3">
        <v>127488</v>
      </c>
      <c r="L57" s="3">
        <v>45984</v>
      </c>
    </row>
    <row r="58" spans="1:12" x14ac:dyDescent="0.3">
      <c r="A58" s="2">
        <v>45439</v>
      </c>
      <c r="B58" t="s">
        <v>72</v>
      </c>
      <c r="C58" t="s">
        <v>13</v>
      </c>
      <c r="D58" t="s">
        <v>77</v>
      </c>
      <c r="E58" t="s">
        <v>49</v>
      </c>
      <c r="F58" t="s">
        <v>16</v>
      </c>
      <c r="G58">
        <v>14</v>
      </c>
      <c r="H58" s="3">
        <v>411</v>
      </c>
      <c r="I58" s="3">
        <v>746</v>
      </c>
      <c r="J58" s="3">
        <v>5754</v>
      </c>
      <c r="K58" s="3">
        <v>10444</v>
      </c>
      <c r="L58" s="3">
        <v>4690</v>
      </c>
    </row>
    <row r="59" spans="1:12" x14ac:dyDescent="0.3">
      <c r="A59" s="2">
        <v>45440</v>
      </c>
      <c r="B59" t="s">
        <v>32</v>
      </c>
      <c r="C59" t="s">
        <v>37</v>
      </c>
      <c r="D59" t="s">
        <v>64</v>
      </c>
      <c r="E59" t="s">
        <v>20</v>
      </c>
      <c r="F59" t="s">
        <v>24</v>
      </c>
      <c r="G59">
        <v>59</v>
      </c>
      <c r="H59" s="3">
        <v>890</v>
      </c>
      <c r="I59" s="3">
        <v>1273</v>
      </c>
      <c r="J59" s="3">
        <v>52510</v>
      </c>
      <c r="K59" s="3">
        <v>75107</v>
      </c>
      <c r="L59" s="3">
        <v>22597</v>
      </c>
    </row>
    <row r="60" spans="1:12" x14ac:dyDescent="0.3">
      <c r="A60" s="2">
        <v>45441</v>
      </c>
      <c r="B60" t="s">
        <v>36</v>
      </c>
      <c r="C60" t="s">
        <v>45</v>
      </c>
      <c r="D60" t="s">
        <v>70</v>
      </c>
      <c r="E60" t="s">
        <v>65</v>
      </c>
      <c r="F60" t="s">
        <v>24</v>
      </c>
      <c r="G60">
        <v>56</v>
      </c>
      <c r="H60" s="3">
        <v>741</v>
      </c>
      <c r="I60" s="3">
        <v>975</v>
      </c>
      <c r="J60" s="3">
        <v>41496</v>
      </c>
      <c r="K60" s="3">
        <v>54600</v>
      </c>
      <c r="L60" s="3">
        <v>13104</v>
      </c>
    </row>
    <row r="61" spans="1:12" x14ac:dyDescent="0.3">
      <c r="A61" s="2">
        <v>45442</v>
      </c>
      <c r="B61" t="s">
        <v>40</v>
      </c>
      <c r="C61" t="s">
        <v>37</v>
      </c>
      <c r="D61" t="s">
        <v>42</v>
      </c>
      <c r="E61" t="s">
        <v>39</v>
      </c>
      <c r="F61" t="s">
        <v>24</v>
      </c>
      <c r="G61">
        <v>48</v>
      </c>
      <c r="H61" s="3">
        <v>819</v>
      </c>
      <c r="I61" s="3">
        <v>1264</v>
      </c>
      <c r="J61" s="3">
        <v>39312</v>
      </c>
      <c r="K61" s="3">
        <v>60672</v>
      </c>
      <c r="L61" s="3">
        <v>21360</v>
      </c>
    </row>
    <row r="62" spans="1:12" x14ac:dyDescent="0.3">
      <c r="A62" s="2">
        <v>45443</v>
      </c>
      <c r="B62" t="s">
        <v>69</v>
      </c>
      <c r="C62" t="s">
        <v>37</v>
      </c>
      <c r="D62" t="s">
        <v>64</v>
      </c>
      <c r="E62" t="s">
        <v>15</v>
      </c>
      <c r="F62" t="s">
        <v>16</v>
      </c>
      <c r="G62">
        <v>80</v>
      </c>
      <c r="H62" s="3">
        <v>430</v>
      </c>
      <c r="I62" s="3">
        <v>615</v>
      </c>
      <c r="J62" s="3">
        <v>34400</v>
      </c>
      <c r="K62" s="3">
        <v>49200</v>
      </c>
      <c r="L62" s="3">
        <v>14800</v>
      </c>
    </row>
    <row r="63" spans="1:12" x14ac:dyDescent="0.3">
      <c r="A63" s="2">
        <v>45444</v>
      </c>
      <c r="B63" t="s">
        <v>40</v>
      </c>
      <c r="C63" t="s">
        <v>45</v>
      </c>
      <c r="D63" t="s">
        <v>62</v>
      </c>
      <c r="E63" t="s">
        <v>20</v>
      </c>
      <c r="F63" t="s">
        <v>16</v>
      </c>
      <c r="G63">
        <v>61</v>
      </c>
      <c r="H63" s="3">
        <v>861</v>
      </c>
      <c r="I63" s="3">
        <v>1758</v>
      </c>
      <c r="J63" s="3">
        <v>52521</v>
      </c>
      <c r="K63" s="3">
        <v>107238</v>
      </c>
      <c r="L63" s="3">
        <v>54717</v>
      </c>
    </row>
    <row r="64" spans="1:12" x14ac:dyDescent="0.3">
      <c r="A64" s="2">
        <v>45445</v>
      </c>
      <c r="B64" t="s">
        <v>58</v>
      </c>
      <c r="C64" t="s">
        <v>37</v>
      </c>
      <c r="D64" t="s">
        <v>38</v>
      </c>
      <c r="E64" t="s">
        <v>51</v>
      </c>
      <c r="F64" t="s">
        <v>16</v>
      </c>
      <c r="G64">
        <v>69</v>
      </c>
      <c r="H64" s="3">
        <v>752</v>
      </c>
      <c r="I64" s="3">
        <v>1255</v>
      </c>
      <c r="J64" s="3">
        <v>51888</v>
      </c>
      <c r="K64" s="3">
        <v>86595</v>
      </c>
      <c r="L64" s="3">
        <v>34707</v>
      </c>
    </row>
    <row r="65" spans="1:12" x14ac:dyDescent="0.3">
      <c r="A65" s="2">
        <v>45446</v>
      </c>
      <c r="B65" t="s">
        <v>78</v>
      </c>
      <c r="C65" t="s">
        <v>18</v>
      </c>
      <c r="D65" t="s">
        <v>52</v>
      </c>
      <c r="E65" t="s">
        <v>27</v>
      </c>
      <c r="F65" t="s">
        <v>24</v>
      </c>
      <c r="G65">
        <v>94</v>
      </c>
      <c r="H65" s="3">
        <v>386</v>
      </c>
      <c r="I65" s="3">
        <v>586</v>
      </c>
      <c r="J65" s="3">
        <v>36284</v>
      </c>
      <c r="K65" s="3">
        <v>55084</v>
      </c>
      <c r="L65" s="3">
        <v>18800</v>
      </c>
    </row>
    <row r="66" spans="1:12" x14ac:dyDescent="0.3">
      <c r="A66" s="2">
        <v>45447</v>
      </c>
      <c r="B66" t="s">
        <v>40</v>
      </c>
      <c r="C66" t="s">
        <v>18</v>
      </c>
      <c r="D66" t="s">
        <v>26</v>
      </c>
      <c r="E66" t="s">
        <v>31</v>
      </c>
      <c r="F66" t="s">
        <v>24</v>
      </c>
      <c r="G66">
        <v>96</v>
      </c>
      <c r="H66" s="3">
        <v>617</v>
      </c>
      <c r="I66" s="3">
        <v>902</v>
      </c>
      <c r="J66" s="3">
        <v>59232</v>
      </c>
      <c r="K66" s="3">
        <v>86592</v>
      </c>
      <c r="L66" s="3">
        <v>27360</v>
      </c>
    </row>
    <row r="67" spans="1:12" x14ac:dyDescent="0.3">
      <c r="A67" s="2">
        <v>45448</v>
      </c>
      <c r="B67" t="s">
        <v>78</v>
      </c>
      <c r="C67" t="s">
        <v>29</v>
      </c>
      <c r="D67" t="s">
        <v>59</v>
      </c>
      <c r="E67" t="s">
        <v>23</v>
      </c>
      <c r="F67" t="s">
        <v>24</v>
      </c>
      <c r="G67">
        <v>70</v>
      </c>
      <c r="H67" s="3">
        <v>925</v>
      </c>
      <c r="I67" s="3">
        <v>1902</v>
      </c>
      <c r="J67" s="3">
        <v>64750</v>
      </c>
      <c r="K67" s="3">
        <v>133140</v>
      </c>
      <c r="L67" s="3">
        <v>68390</v>
      </c>
    </row>
    <row r="68" spans="1:12" x14ac:dyDescent="0.3">
      <c r="A68" s="2">
        <v>45449</v>
      </c>
      <c r="B68" t="s">
        <v>75</v>
      </c>
      <c r="C68" t="s">
        <v>45</v>
      </c>
      <c r="D68" t="s">
        <v>48</v>
      </c>
      <c r="E68" t="s">
        <v>63</v>
      </c>
      <c r="F68" t="s">
        <v>24</v>
      </c>
      <c r="G68">
        <v>99</v>
      </c>
      <c r="H68" s="3">
        <v>693</v>
      </c>
      <c r="I68" s="3">
        <v>1191</v>
      </c>
      <c r="J68" s="3">
        <v>68607</v>
      </c>
      <c r="K68" s="3">
        <v>117909</v>
      </c>
      <c r="L68" s="3">
        <v>49302</v>
      </c>
    </row>
    <row r="69" spans="1:12" x14ac:dyDescent="0.3">
      <c r="A69" s="2">
        <v>45450</v>
      </c>
      <c r="B69" t="s">
        <v>21</v>
      </c>
      <c r="C69" t="s">
        <v>29</v>
      </c>
      <c r="D69" t="s">
        <v>59</v>
      </c>
      <c r="E69" t="s">
        <v>63</v>
      </c>
      <c r="F69" t="s">
        <v>24</v>
      </c>
      <c r="G69">
        <v>64</v>
      </c>
      <c r="H69" s="3">
        <v>524</v>
      </c>
      <c r="I69" s="3">
        <v>742</v>
      </c>
      <c r="J69" s="3">
        <v>33536</v>
      </c>
      <c r="K69" s="3">
        <v>47488</v>
      </c>
      <c r="L69" s="3">
        <v>13952</v>
      </c>
    </row>
    <row r="70" spans="1:12" x14ac:dyDescent="0.3">
      <c r="A70" s="2">
        <v>45451</v>
      </c>
      <c r="B70" t="s">
        <v>66</v>
      </c>
      <c r="C70" t="s">
        <v>18</v>
      </c>
      <c r="D70" t="s">
        <v>52</v>
      </c>
      <c r="E70" t="s">
        <v>23</v>
      </c>
      <c r="F70" t="s">
        <v>24</v>
      </c>
      <c r="G70">
        <v>25</v>
      </c>
      <c r="H70" s="3">
        <v>767</v>
      </c>
      <c r="I70" s="3">
        <v>1055</v>
      </c>
      <c r="J70" s="3">
        <v>19175</v>
      </c>
      <c r="K70" s="3">
        <v>26375</v>
      </c>
      <c r="L70" s="3">
        <v>7200</v>
      </c>
    </row>
    <row r="71" spans="1:12" x14ac:dyDescent="0.3">
      <c r="A71" s="2">
        <v>45452</v>
      </c>
      <c r="B71" t="s">
        <v>25</v>
      </c>
      <c r="C71" t="s">
        <v>18</v>
      </c>
      <c r="D71" t="s">
        <v>22</v>
      </c>
      <c r="E71" t="s">
        <v>20</v>
      </c>
      <c r="F71" t="s">
        <v>16</v>
      </c>
      <c r="G71">
        <v>66</v>
      </c>
      <c r="H71" s="3">
        <v>927</v>
      </c>
      <c r="I71" s="3">
        <v>1876</v>
      </c>
      <c r="J71" s="3">
        <v>61182</v>
      </c>
      <c r="K71" s="3">
        <v>123816</v>
      </c>
      <c r="L71" s="3">
        <v>62634</v>
      </c>
    </row>
    <row r="72" spans="1:12" x14ac:dyDescent="0.3">
      <c r="A72" s="2">
        <v>45453</v>
      </c>
      <c r="B72" t="s">
        <v>54</v>
      </c>
      <c r="C72" t="s">
        <v>45</v>
      </c>
      <c r="D72" t="s">
        <v>53</v>
      </c>
      <c r="E72" t="s">
        <v>71</v>
      </c>
      <c r="F72" t="s">
        <v>24</v>
      </c>
      <c r="G72">
        <v>70</v>
      </c>
      <c r="H72" s="3">
        <v>760</v>
      </c>
      <c r="I72" s="3">
        <v>1137</v>
      </c>
      <c r="J72" s="3">
        <v>53200</v>
      </c>
      <c r="K72" s="3">
        <v>79590</v>
      </c>
      <c r="L72" s="3">
        <v>26390</v>
      </c>
    </row>
    <row r="73" spans="1:12" x14ac:dyDescent="0.3">
      <c r="A73" s="2">
        <v>45454</v>
      </c>
      <c r="B73" t="s">
        <v>21</v>
      </c>
      <c r="C73" t="s">
        <v>37</v>
      </c>
      <c r="D73" t="s">
        <v>42</v>
      </c>
      <c r="E73" t="s">
        <v>71</v>
      </c>
      <c r="F73" t="s">
        <v>24</v>
      </c>
      <c r="G73">
        <v>45</v>
      </c>
      <c r="H73" s="3">
        <v>750</v>
      </c>
      <c r="I73" s="3">
        <v>992</v>
      </c>
      <c r="J73" s="3">
        <v>33750</v>
      </c>
      <c r="K73" s="3">
        <v>44640</v>
      </c>
      <c r="L73" s="3">
        <v>10890</v>
      </c>
    </row>
    <row r="74" spans="1:12" x14ac:dyDescent="0.3">
      <c r="A74" s="2">
        <v>45455</v>
      </c>
      <c r="B74" t="s">
        <v>58</v>
      </c>
      <c r="C74" t="s">
        <v>29</v>
      </c>
      <c r="D74" t="s">
        <v>30</v>
      </c>
      <c r="E74" t="s">
        <v>39</v>
      </c>
      <c r="F74" t="s">
        <v>16</v>
      </c>
      <c r="G74">
        <v>79</v>
      </c>
      <c r="H74" s="3">
        <v>382</v>
      </c>
      <c r="I74" s="3">
        <v>527</v>
      </c>
      <c r="J74" s="3">
        <v>30178</v>
      </c>
      <c r="K74" s="3">
        <v>41633</v>
      </c>
      <c r="L74" s="3">
        <v>11455</v>
      </c>
    </row>
    <row r="75" spans="1:12" x14ac:dyDescent="0.3">
      <c r="A75" s="2">
        <v>45456</v>
      </c>
      <c r="B75" t="s">
        <v>21</v>
      </c>
      <c r="C75" t="s">
        <v>45</v>
      </c>
      <c r="D75" t="s">
        <v>62</v>
      </c>
      <c r="E75" t="s">
        <v>15</v>
      </c>
      <c r="F75" t="s">
        <v>24</v>
      </c>
      <c r="G75">
        <v>18</v>
      </c>
      <c r="H75" s="3">
        <v>724</v>
      </c>
      <c r="I75" s="3">
        <v>1185</v>
      </c>
      <c r="J75" s="3">
        <v>13032</v>
      </c>
      <c r="K75" s="3">
        <v>21330</v>
      </c>
      <c r="L75" s="3">
        <v>8298</v>
      </c>
    </row>
    <row r="76" spans="1:12" x14ac:dyDescent="0.3">
      <c r="A76" s="2">
        <v>45457</v>
      </c>
      <c r="B76" t="s">
        <v>50</v>
      </c>
      <c r="C76" t="s">
        <v>45</v>
      </c>
      <c r="D76" t="s">
        <v>48</v>
      </c>
      <c r="E76" t="s">
        <v>23</v>
      </c>
      <c r="F76" t="s">
        <v>24</v>
      </c>
      <c r="G76">
        <v>63</v>
      </c>
      <c r="H76" s="3">
        <v>698</v>
      </c>
      <c r="I76" s="3">
        <v>1472</v>
      </c>
      <c r="J76" s="3">
        <v>43974</v>
      </c>
      <c r="K76" s="3">
        <v>92736</v>
      </c>
      <c r="L76" s="3">
        <v>48762</v>
      </c>
    </row>
    <row r="77" spans="1:12" x14ac:dyDescent="0.3">
      <c r="A77" s="2">
        <v>45458</v>
      </c>
      <c r="B77" t="s">
        <v>79</v>
      </c>
      <c r="C77" t="s">
        <v>13</v>
      </c>
      <c r="D77" t="s">
        <v>34</v>
      </c>
      <c r="E77" t="s">
        <v>51</v>
      </c>
      <c r="F77" t="s">
        <v>16</v>
      </c>
      <c r="G77">
        <v>10</v>
      </c>
      <c r="H77" s="3">
        <v>660</v>
      </c>
      <c r="I77" s="3">
        <v>1012</v>
      </c>
      <c r="J77" s="3">
        <v>6600</v>
      </c>
      <c r="K77" s="3">
        <v>10120</v>
      </c>
      <c r="L77" s="3">
        <v>3520</v>
      </c>
    </row>
    <row r="78" spans="1:12" x14ac:dyDescent="0.3">
      <c r="A78" s="2">
        <v>45459</v>
      </c>
      <c r="B78" t="s">
        <v>33</v>
      </c>
      <c r="C78" t="s">
        <v>45</v>
      </c>
      <c r="D78" t="s">
        <v>53</v>
      </c>
      <c r="E78" t="s">
        <v>15</v>
      </c>
      <c r="F78" t="s">
        <v>24</v>
      </c>
      <c r="G78">
        <v>72</v>
      </c>
      <c r="H78" s="3">
        <v>524</v>
      </c>
      <c r="I78" s="3">
        <v>790</v>
      </c>
      <c r="J78" s="3">
        <v>37728</v>
      </c>
      <c r="K78" s="3">
        <v>56880</v>
      </c>
      <c r="L78" s="3">
        <v>19152</v>
      </c>
    </row>
    <row r="79" spans="1:12" x14ac:dyDescent="0.3">
      <c r="A79" s="2">
        <v>45460</v>
      </c>
      <c r="B79" t="s">
        <v>47</v>
      </c>
      <c r="C79" t="s">
        <v>13</v>
      </c>
      <c r="D79" t="s">
        <v>80</v>
      </c>
      <c r="E79" t="s">
        <v>39</v>
      </c>
      <c r="F79" t="s">
        <v>16</v>
      </c>
      <c r="G79">
        <v>31</v>
      </c>
      <c r="H79" s="3">
        <v>778</v>
      </c>
      <c r="I79" s="3">
        <v>1652</v>
      </c>
      <c r="J79" s="3">
        <v>24118</v>
      </c>
      <c r="K79" s="3">
        <v>51212</v>
      </c>
      <c r="L79" s="3">
        <v>27094</v>
      </c>
    </row>
    <row r="80" spans="1:12" x14ac:dyDescent="0.3">
      <c r="A80" s="2">
        <v>45461</v>
      </c>
      <c r="B80" t="s">
        <v>61</v>
      </c>
      <c r="C80" t="s">
        <v>18</v>
      </c>
      <c r="D80" t="s">
        <v>19</v>
      </c>
      <c r="E80" t="s">
        <v>63</v>
      </c>
      <c r="F80" t="s">
        <v>16</v>
      </c>
      <c r="G80">
        <v>85</v>
      </c>
      <c r="H80" s="3">
        <v>877</v>
      </c>
      <c r="I80" s="3">
        <v>1648</v>
      </c>
      <c r="J80" s="3">
        <v>74545</v>
      </c>
      <c r="K80" s="3">
        <v>140080</v>
      </c>
      <c r="L80" s="3">
        <v>65535</v>
      </c>
    </row>
    <row r="81" spans="1:12" x14ac:dyDescent="0.3">
      <c r="A81" s="2">
        <v>45462</v>
      </c>
      <c r="B81" t="s">
        <v>75</v>
      </c>
      <c r="C81" t="s">
        <v>45</v>
      </c>
      <c r="D81" t="s">
        <v>62</v>
      </c>
      <c r="E81" t="s">
        <v>55</v>
      </c>
      <c r="F81" t="s">
        <v>16</v>
      </c>
      <c r="G81">
        <v>33</v>
      </c>
      <c r="H81" s="3">
        <v>351</v>
      </c>
      <c r="I81" s="3">
        <v>525</v>
      </c>
      <c r="J81" s="3">
        <v>11583</v>
      </c>
      <c r="K81" s="3">
        <v>17325</v>
      </c>
      <c r="L81" s="3">
        <v>5742</v>
      </c>
    </row>
    <row r="82" spans="1:12" x14ac:dyDescent="0.3">
      <c r="A82" s="2">
        <v>45463</v>
      </c>
      <c r="B82" t="s">
        <v>44</v>
      </c>
      <c r="C82" t="s">
        <v>29</v>
      </c>
      <c r="D82" t="s">
        <v>74</v>
      </c>
      <c r="E82" t="s">
        <v>39</v>
      </c>
      <c r="F82" t="s">
        <v>16</v>
      </c>
      <c r="G82">
        <v>58</v>
      </c>
      <c r="H82" s="3">
        <v>584</v>
      </c>
      <c r="I82" s="3">
        <v>1147</v>
      </c>
      <c r="J82" s="3">
        <v>33872</v>
      </c>
      <c r="K82" s="3">
        <v>66526</v>
      </c>
      <c r="L82" s="3">
        <v>32654</v>
      </c>
    </row>
    <row r="83" spans="1:12" x14ac:dyDescent="0.3">
      <c r="A83" s="2">
        <v>45464</v>
      </c>
      <c r="B83" t="s">
        <v>69</v>
      </c>
      <c r="C83" t="s">
        <v>37</v>
      </c>
      <c r="D83" t="s">
        <v>81</v>
      </c>
      <c r="E83" t="s">
        <v>71</v>
      </c>
      <c r="F83" t="s">
        <v>24</v>
      </c>
      <c r="G83">
        <v>79</v>
      </c>
      <c r="H83" s="3">
        <v>353</v>
      </c>
      <c r="I83" s="3">
        <v>776</v>
      </c>
      <c r="J83" s="3">
        <v>27887</v>
      </c>
      <c r="K83" s="3">
        <v>61304</v>
      </c>
      <c r="L83" s="3">
        <v>33417</v>
      </c>
    </row>
    <row r="84" spans="1:12" x14ac:dyDescent="0.3">
      <c r="A84" s="2">
        <v>45465</v>
      </c>
      <c r="B84" t="s">
        <v>32</v>
      </c>
      <c r="C84" t="s">
        <v>29</v>
      </c>
      <c r="D84" t="s">
        <v>59</v>
      </c>
      <c r="E84" t="s">
        <v>27</v>
      </c>
      <c r="F84" t="s">
        <v>24</v>
      </c>
      <c r="G84">
        <v>13</v>
      </c>
      <c r="H84" s="3">
        <v>553</v>
      </c>
      <c r="I84" s="3">
        <v>795</v>
      </c>
      <c r="J84" s="3">
        <v>7189</v>
      </c>
      <c r="K84" s="3">
        <v>10335</v>
      </c>
      <c r="L84" s="3">
        <v>3146</v>
      </c>
    </row>
    <row r="85" spans="1:12" x14ac:dyDescent="0.3">
      <c r="A85" s="2">
        <v>45466</v>
      </c>
      <c r="B85" t="s">
        <v>72</v>
      </c>
      <c r="C85" t="s">
        <v>18</v>
      </c>
      <c r="D85" t="s">
        <v>73</v>
      </c>
      <c r="E85" t="s">
        <v>43</v>
      </c>
      <c r="F85" t="s">
        <v>24</v>
      </c>
      <c r="G85">
        <v>70</v>
      </c>
      <c r="H85" s="3">
        <v>985</v>
      </c>
      <c r="I85" s="3">
        <v>1338</v>
      </c>
      <c r="J85" s="3">
        <v>68950</v>
      </c>
      <c r="K85" s="3">
        <v>93660</v>
      </c>
      <c r="L85" s="3">
        <v>24710</v>
      </c>
    </row>
    <row r="86" spans="1:12" x14ac:dyDescent="0.3">
      <c r="A86" s="2">
        <v>45467</v>
      </c>
      <c r="B86" t="s">
        <v>78</v>
      </c>
      <c r="C86" t="s">
        <v>45</v>
      </c>
      <c r="D86" t="s">
        <v>46</v>
      </c>
      <c r="E86" t="s">
        <v>27</v>
      </c>
      <c r="F86" t="s">
        <v>16</v>
      </c>
      <c r="G86">
        <v>31</v>
      </c>
      <c r="H86" s="3">
        <v>920</v>
      </c>
      <c r="I86" s="3">
        <v>1680</v>
      </c>
      <c r="J86" s="3">
        <v>28520</v>
      </c>
      <c r="K86" s="3">
        <v>52080</v>
      </c>
      <c r="L86" s="3">
        <v>23560</v>
      </c>
    </row>
    <row r="87" spans="1:12" x14ac:dyDescent="0.3">
      <c r="A87" s="2">
        <v>45468</v>
      </c>
      <c r="B87" t="s">
        <v>57</v>
      </c>
      <c r="C87" t="s">
        <v>13</v>
      </c>
      <c r="D87" t="s">
        <v>67</v>
      </c>
      <c r="E87" t="s">
        <v>35</v>
      </c>
      <c r="F87" t="s">
        <v>24</v>
      </c>
      <c r="G87">
        <v>84</v>
      </c>
      <c r="H87" s="3">
        <v>326</v>
      </c>
      <c r="I87" s="3">
        <v>695</v>
      </c>
      <c r="J87" s="3">
        <v>27384</v>
      </c>
      <c r="K87" s="3">
        <v>58380</v>
      </c>
      <c r="L87" s="3">
        <v>30996</v>
      </c>
    </row>
    <row r="88" spans="1:12" x14ac:dyDescent="0.3">
      <c r="A88" s="2">
        <v>45469</v>
      </c>
      <c r="B88" t="s">
        <v>79</v>
      </c>
      <c r="C88" t="s">
        <v>45</v>
      </c>
      <c r="D88" t="s">
        <v>48</v>
      </c>
      <c r="E88" t="s">
        <v>15</v>
      </c>
      <c r="F88" t="s">
        <v>24</v>
      </c>
      <c r="G88">
        <v>19</v>
      </c>
      <c r="H88" s="3">
        <v>906</v>
      </c>
      <c r="I88" s="3">
        <v>1726</v>
      </c>
      <c r="J88" s="3">
        <v>17214</v>
      </c>
      <c r="K88" s="3">
        <v>32794</v>
      </c>
      <c r="L88" s="3">
        <v>15580</v>
      </c>
    </row>
    <row r="89" spans="1:12" x14ac:dyDescent="0.3">
      <c r="A89" s="2">
        <v>45470</v>
      </c>
      <c r="B89" t="s">
        <v>12</v>
      </c>
      <c r="C89" t="s">
        <v>29</v>
      </c>
      <c r="D89" t="s">
        <v>59</v>
      </c>
      <c r="E89" t="s">
        <v>15</v>
      </c>
      <c r="F89" t="s">
        <v>16</v>
      </c>
      <c r="G89">
        <v>97</v>
      </c>
      <c r="H89" s="3">
        <v>914</v>
      </c>
      <c r="I89" s="3">
        <v>1841</v>
      </c>
      <c r="J89" s="3">
        <v>88658</v>
      </c>
      <c r="K89" s="3">
        <v>178577</v>
      </c>
      <c r="L89" s="3">
        <v>89919</v>
      </c>
    </row>
    <row r="90" spans="1:12" x14ac:dyDescent="0.3">
      <c r="A90" s="2">
        <v>45471</v>
      </c>
      <c r="B90" t="s">
        <v>79</v>
      </c>
      <c r="C90" t="s">
        <v>13</v>
      </c>
      <c r="D90" t="s">
        <v>77</v>
      </c>
      <c r="E90" t="s">
        <v>65</v>
      </c>
      <c r="F90" t="s">
        <v>16</v>
      </c>
      <c r="G90">
        <v>94</v>
      </c>
      <c r="H90" s="3">
        <v>679</v>
      </c>
      <c r="I90" s="3">
        <v>893</v>
      </c>
      <c r="J90" s="3">
        <v>63826</v>
      </c>
      <c r="K90" s="3">
        <v>83942</v>
      </c>
      <c r="L90" s="3">
        <v>20116</v>
      </c>
    </row>
    <row r="91" spans="1:12" x14ac:dyDescent="0.3">
      <c r="A91" s="2">
        <v>45472</v>
      </c>
      <c r="B91" t="s">
        <v>12</v>
      </c>
      <c r="C91" t="s">
        <v>37</v>
      </c>
      <c r="D91" t="s">
        <v>81</v>
      </c>
      <c r="E91" t="s">
        <v>55</v>
      </c>
      <c r="F91" t="s">
        <v>16</v>
      </c>
      <c r="G91">
        <v>72</v>
      </c>
      <c r="H91" s="3">
        <v>408</v>
      </c>
      <c r="I91" s="3">
        <v>678</v>
      </c>
      <c r="J91" s="3">
        <v>29376</v>
      </c>
      <c r="K91" s="3">
        <v>48816</v>
      </c>
      <c r="L91" s="3">
        <v>19440</v>
      </c>
    </row>
    <row r="92" spans="1:12" x14ac:dyDescent="0.3">
      <c r="A92" s="2">
        <v>45383</v>
      </c>
      <c r="B92" t="s">
        <v>32</v>
      </c>
      <c r="C92" t="s">
        <v>45</v>
      </c>
      <c r="D92" t="s">
        <v>62</v>
      </c>
      <c r="E92" t="s">
        <v>51</v>
      </c>
      <c r="F92" t="s">
        <v>24</v>
      </c>
      <c r="G92">
        <v>76</v>
      </c>
      <c r="H92" s="3">
        <v>966</v>
      </c>
      <c r="I92" s="3">
        <v>1455</v>
      </c>
      <c r="J92" s="3">
        <v>73416</v>
      </c>
      <c r="K92" s="3">
        <v>110580</v>
      </c>
      <c r="L92" s="3">
        <v>37164</v>
      </c>
    </row>
    <row r="93" spans="1:12" x14ac:dyDescent="0.3">
      <c r="A93" s="2">
        <v>45384</v>
      </c>
      <c r="B93" t="s">
        <v>50</v>
      </c>
      <c r="C93" t="s">
        <v>45</v>
      </c>
      <c r="D93" t="s">
        <v>48</v>
      </c>
      <c r="E93" t="s">
        <v>51</v>
      </c>
      <c r="F93" t="s">
        <v>16</v>
      </c>
      <c r="G93">
        <v>51</v>
      </c>
      <c r="H93" s="3">
        <v>551</v>
      </c>
      <c r="I93" s="3">
        <v>1123</v>
      </c>
      <c r="J93" s="3">
        <v>28101</v>
      </c>
      <c r="K93" s="3">
        <v>57273</v>
      </c>
      <c r="L93" s="3">
        <v>29172</v>
      </c>
    </row>
    <row r="94" spans="1:12" x14ac:dyDescent="0.3">
      <c r="A94" s="2">
        <v>45385</v>
      </c>
      <c r="B94" t="s">
        <v>75</v>
      </c>
      <c r="C94" t="s">
        <v>37</v>
      </c>
      <c r="D94" t="s">
        <v>64</v>
      </c>
      <c r="E94" t="s">
        <v>43</v>
      </c>
      <c r="F94" t="s">
        <v>16</v>
      </c>
      <c r="G94">
        <v>82</v>
      </c>
      <c r="H94" s="3">
        <v>924</v>
      </c>
      <c r="I94" s="3">
        <v>1741</v>
      </c>
      <c r="J94" s="3">
        <v>75768</v>
      </c>
      <c r="K94" s="3">
        <v>142762</v>
      </c>
      <c r="L94" s="3">
        <v>66994</v>
      </c>
    </row>
    <row r="95" spans="1:12" x14ac:dyDescent="0.3">
      <c r="A95" s="2">
        <v>45386</v>
      </c>
      <c r="B95" t="s">
        <v>44</v>
      </c>
      <c r="C95" t="s">
        <v>13</v>
      </c>
      <c r="D95" t="s">
        <v>80</v>
      </c>
      <c r="E95" t="s">
        <v>55</v>
      </c>
      <c r="F95" t="s">
        <v>16</v>
      </c>
      <c r="G95">
        <v>33</v>
      </c>
      <c r="H95" s="3">
        <v>799</v>
      </c>
      <c r="I95" s="3">
        <v>1159</v>
      </c>
      <c r="J95" s="3">
        <v>26367</v>
      </c>
      <c r="K95" s="3">
        <v>38247</v>
      </c>
      <c r="L95" s="3">
        <v>11880</v>
      </c>
    </row>
    <row r="96" spans="1:12" x14ac:dyDescent="0.3">
      <c r="A96" s="2">
        <v>45387</v>
      </c>
      <c r="B96" t="s">
        <v>68</v>
      </c>
      <c r="C96" t="s">
        <v>37</v>
      </c>
      <c r="D96" t="s">
        <v>56</v>
      </c>
      <c r="E96" t="s">
        <v>63</v>
      </c>
      <c r="F96" t="s">
        <v>16</v>
      </c>
      <c r="G96">
        <v>81</v>
      </c>
      <c r="H96" s="3">
        <v>310</v>
      </c>
      <c r="I96" s="3">
        <v>539</v>
      </c>
      <c r="J96" s="3">
        <v>25110</v>
      </c>
      <c r="K96" s="3">
        <v>43659</v>
      </c>
      <c r="L96" s="3">
        <v>18549</v>
      </c>
    </row>
    <row r="97" spans="1:12" x14ac:dyDescent="0.3">
      <c r="A97" s="2">
        <v>45388</v>
      </c>
      <c r="B97" t="s">
        <v>78</v>
      </c>
      <c r="C97" t="s">
        <v>13</v>
      </c>
      <c r="D97" t="s">
        <v>67</v>
      </c>
      <c r="E97" t="s">
        <v>15</v>
      </c>
      <c r="F97" t="s">
        <v>16</v>
      </c>
      <c r="G97">
        <v>72</v>
      </c>
      <c r="H97" s="3">
        <v>868</v>
      </c>
      <c r="I97" s="3">
        <v>1710</v>
      </c>
      <c r="J97" s="3">
        <v>62496</v>
      </c>
      <c r="K97" s="3">
        <v>123120</v>
      </c>
      <c r="L97" s="3">
        <v>60624</v>
      </c>
    </row>
    <row r="98" spans="1:12" x14ac:dyDescent="0.3">
      <c r="A98" s="2">
        <v>45389</v>
      </c>
      <c r="B98" t="s">
        <v>66</v>
      </c>
      <c r="C98" t="s">
        <v>45</v>
      </c>
      <c r="D98" t="s">
        <v>48</v>
      </c>
      <c r="E98" t="s">
        <v>71</v>
      </c>
      <c r="F98" t="s">
        <v>24</v>
      </c>
      <c r="G98">
        <v>21</v>
      </c>
      <c r="H98" s="3">
        <v>601</v>
      </c>
      <c r="I98" s="3">
        <v>877</v>
      </c>
      <c r="J98" s="3">
        <v>12621</v>
      </c>
      <c r="K98" s="3">
        <v>18417</v>
      </c>
      <c r="L98" s="3">
        <v>5796</v>
      </c>
    </row>
    <row r="99" spans="1:12" x14ac:dyDescent="0.3">
      <c r="A99" s="2">
        <v>45390</v>
      </c>
      <c r="B99" t="s">
        <v>66</v>
      </c>
      <c r="C99" t="s">
        <v>29</v>
      </c>
      <c r="D99" t="s">
        <v>30</v>
      </c>
      <c r="E99" t="s">
        <v>41</v>
      </c>
      <c r="F99" t="s">
        <v>16</v>
      </c>
      <c r="G99">
        <v>70</v>
      </c>
      <c r="H99" s="3">
        <v>866</v>
      </c>
      <c r="I99" s="3">
        <v>1519</v>
      </c>
      <c r="J99" s="3">
        <v>60620</v>
      </c>
      <c r="K99" s="3">
        <v>106330</v>
      </c>
      <c r="L99" s="3">
        <v>45710</v>
      </c>
    </row>
    <row r="100" spans="1:12" x14ac:dyDescent="0.3">
      <c r="A100" s="2">
        <v>45391</v>
      </c>
      <c r="B100" t="s">
        <v>69</v>
      </c>
      <c r="C100" t="s">
        <v>18</v>
      </c>
      <c r="D100" t="s">
        <v>26</v>
      </c>
      <c r="E100" t="s">
        <v>39</v>
      </c>
      <c r="F100" t="s">
        <v>16</v>
      </c>
      <c r="G100">
        <v>44</v>
      </c>
      <c r="H100" s="3">
        <v>613</v>
      </c>
      <c r="I100" s="3">
        <v>912</v>
      </c>
      <c r="J100" s="3">
        <v>26972</v>
      </c>
      <c r="K100" s="3">
        <v>40128</v>
      </c>
      <c r="L100" s="3">
        <v>13156</v>
      </c>
    </row>
    <row r="101" spans="1:12" x14ac:dyDescent="0.3">
      <c r="A101" s="2">
        <v>45392</v>
      </c>
      <c r="B101" t="s">
        <v>17</v>
      </c>
      <c r="C101" t="s">
        <v>29</v>
      </c>
      <c r="D101" t="s">
        <v>30</v>
      </c>
      <c r="E101" t="s">
        <v>31</v>
      </c>
      <c r="F101" t="s">
        <v>24</v>
      </c>
      <c r="G101">
        <v>34</v>
      </c>
      <c r="H101" s="3">
        <v>521</v>
      </c>
      <c r="I101" s="3">
        <v>1016</v>
      </c>
      <c r="J101" s="3">
        <v>17714</v>
      </c>
      <c r="K101" s="3">
        <v>34544</v>
      </c>
      <c r="L101" s="3">
        <v>16830</v>
      </c>
    </row>
    <row r="102" spans="1:12" x14ac:dyDescent="0.3">
      <c r="A102" s="2">
        <v>45393</v>
      </c>
      <c r="B102" t="s">
        <v>68</v>
      </c>
      <c r="C102" t="s">
        <v>18</v>
      </c>
      <c r="D102" t="s">
        <v>22</v>
      </c>
      <c r="E102" t="s">
        <v>20</v>
      </c>
      <c r="F102" t="s">
        <v>16</v>
      </c>
      <c r="G102">
        <v>22</v>
      </c>
      <c r="H102" s="3">
        <v>498</v>
      </c>
      <c r="I102" s="3">
        <v>762</v>
      </c>
      <c r="J102" s="3">
        <v>10956</v>
      </c>
      <c r="K102" s="3">
        <v>16764</v>
      </c>
      <c r="L102" s="3">
        <v>5808</v>
      </c>
    </row>
    <row r="103" spans="1:12" x14ac:dyDescent="0.3">
      <c r="A103" s="2">
        <v>45394</v>
      </c>
      <c r="B103" t="s">
        <v>32</v>
      </c>
      <c r="C103" t="s">
        <v>29</v>
      </c>
      <c r="D103" t="s">
        <v>30</v>
      </c>
      <c r="E103" t="s">
        <v>23</v>
      </c>
      <c r="F103" t="s">
        <v>24</v>
      </c>
      <c r="G103">
        <v>45</v>
      </c>
      <c r="H103" s="3">
        <v>346</v>
      </c>
      <c r="I103" s="3">
        <v>752</v>
      </c>
      <c r="J103" s="3">
        <v>15570</v>
      </c>
      <c r="K103" s="3">
        <v>33840</v>
      </c>
      <c r="L103" s="3">
        <v>18270</v>
      </c>
    </row>
    <row r="104" spans="1:12" x14ac:dyDescent="0.3">
      <c r="A104" s="2">
        <v>45395</v>
      </c>
      <c r="B104" t="s">
        <v>50</v>
      </c>
      <c r="C104" t="s">
        <v>37</v>
      </c>
      <c r="D104" t="s">
        <v>38</v>
      </c>
      <c r="E104" t="s">
        <v>41</v>
      </c>
      <c r="F104" t="s">
        <v>16</v>
      </c>
      <c r="G104">
        <v>23</v>
      </c>
      <c r="H104" s="3">
        <v>312</v>
      </c>
      <c r="I104" s="3">
        <v>560</v>
      </c>
      <c r="J104" s="3">
        <v>7176</v>
      </c>
      <c r="K104" s="3">
        <v>12880</v>
      </c>
      <c r="L104" s="3">
        <v>5704</v>
      </c>
    </row>
    <row r="105" spans="1:12" x14ac:dyDescent="0.3">
      <c r="A105" s="2">
        <v>45396</v>
      </c>
      <c r="B105" t="s">
        <v>47</v>
      </c>
      <c r="C105" t="s">
        <v>45</v>
      </c>
      <c r="D105" t="s">
        <v>48</v>
      </c>
      <c r="E105" t="s">
        <v>39</v>
      </c>
      <c r="F105" t="s">
        <v>24</v>
      </c>
      <c r="G105">
        <v>16</v>
      </c>
      <c r="H105" s="3">
        <v>558</v>
      </c>
      <c r="I105" s="3">
        <v>1196</v>
      </c>
      <c r="J105" s="3">
        <v>8928</v>
      </c>
      <c r="K105" s="3">
        <v>19136</v>
      </c>
      <c r="L105" s="3">
        <v>10208</v>
      </c>
    </row>
    <row r="106" spans="1:12" x14ac:dyDescent="0.3">
      <c r="A106" s="2">
        <v>45397</v>
      </c>
      <c r="B106" t="s">
        <v>47</v>
      </c>
      <c r="C106" t="s">
        <v>13</v>
      </c>
      <c r="D106" t="s">
        <v>14</v>
      </c>
      <c r="E106" t="s">
        <v>51</v>
      </c>
      <c r="F106" t="s">
        <v>16</v>
      </c>
      <c r="G106">
        <v>19</v>
      </c>
      <c r="H106" s="3">
        <v>890</v>
      </c>
      <c r="I106" s="3">
        <v>1644</v>
      </c>
      <c r="J106" s="3">
        <v>16910</v>
      </c>
      <c r="K106" s="3">
        <v>31236</v>
      </c>
      <c r="L106" s="3">
        <v>14326</v>
      </c>
    </row>
    <row r="107" spans="1:12" x14ac:dyDescent="0.3">
      <c r="A107" s="2">
        <v>45398</v>
      </c>
      <c r="B107" t="s">
        <v>36</v>
      </c>
      <c r="C107" t="s">
        <v>29</v>
      </c>
      <c r="D107" t="s">
        <v>60</v>
      </c>
      <c r="E107" t="s">
        <v>27</v>
      </c>
      <c r="F107" t="s">
        <v>16</v>
      </c>
      <c r="G107">
        <v>20</v>
      </c>
      <c r="H107" s="3">
        <v>554</v>
      </c>
      <c r="I107" s="3">
        <v>754</v>
      </c>
      <c r="J107" s="3">
        <v>11080</v>
      </c>
      <c r="K107" s="3">
        <v>15080</v>
      </c>
      <c r="L107" s="3">
        <v>4000</v>
      </c>
    </row>
    <row r="108" spans="1:12" x14ac:dyDescent="0.3">
      <c r="A108" s="2">
        <v>45399</v>
      </c>
      <c r="B108" t="s">
        <v>69</v>
      </c>
      <c r="C108" t="s">
        <v>18</v>
      </c>
      <c r="D108" t="s">
        <v>22</v>
      </c>
      <c r="E108" t="s">
        <v>27</v>
      </c>
      <c r="F108" t="s">
        <v>24</v>
      </c>
      <c r="G108">
        <v>76</v>
      </c>
      <c r="H108" s="3">
        <v>689</v>
      </c>
      <c r="I108" s="3">
        <v>1156</v>
      </c>
      <c r="J108" s="3">
        <v>52364</v>
      </c>
      <c r="K108" s="3">
        <v>87856</v>
      </c>
      <c r="L108" s="3">
        <v>35492</v>
      </c>
    </row>
    <row r="109" spans="1:12" x14ac:dyDescent="0.3">
      <c r="A109" s="2">
        <v>45400</v>
      </c>
      <c r="B109" t="s">
        <v>25</v>
      </c>
      <c r="C109" t="s">
        <v>37</v>
      </c>
      <c r="D109" t="s">
        <v>42</v>
      </c>
      <c r="E109" t="s">
        <v>51</v>
      </c>
      <c r="F109" t="s">
        <v>16</v>
      </c>
      <c r="G109">
        <v>82</v>
      </c>
      <c r="H109" s="3">
        <v>935</v>
      </c>
      <c r="I109" s="3">
        <v>1222</v>
      </c>
      <c r="J109" s="3">
        <v>76670</v>
      </c>
      <c r="K109" s="3">
        <v>100204</v>
      </c>
      <c r="L109" s="3">
        <v>23534</v>
      </c>
    </row>
    <row r="110" spans="1:12" x14ac:dyDescent="0.3">
      <c r="A110" s="2">
        <v>45401</v>
      </c>
      <c r="B110" t="s">
        <v>57</v>
      </c>
      <c r="C110" t="s">
        <v>13</v>
      </c>
      <c r="D110" t="s">
        <v>67</v>
      </c>
      <c r="E110" t="s">
        <v>41</v>
      </c>
      <c r="F110" t="s">
        <v>24</v>
      </c>
      <c r="G110">
        <v>43</v>
      </c>
      <c r="H110" s="3">
        <v>976</v>
      </c>
      <c r="I110" s="3">
        <v>1295</v>
      </c>
      <c r="J110" s="3">
        <v>41968</v>
      </c>
      <c r="K110" s="3">
        <v>55685</v>
      </c>
      <c r="L110" s="3">
        <v>13717</v>
      </c>
    </row>
    <row r="111" spans="1:12" x14ac:dyDescent="0.3">
      <c r="A111" s="2">
        <v>45402</v>
      </c>
      <c r="B111" t="s">
        <v>21</v>
      </c>
      <c r="C111" t="s">
        <v>29</v>
      </c>
      <c r="D111" t="s">
        <v>76</v>
      </c>
      <c r="E111" t="s">
        <v>31</v>
      </c>
      <c r="F111" t="s">
        <v>24</v>
      </c>
      <c r="G111">
        <v>10</v>
      </c>
      <c r="H111" s="3">
        <v>718</v>
      </c>
      <c r="I111" s="3">
        <v>1204</v>
      </c>
      <c r="J111" s="3">
        <v>7180</v>
      </c>
      <c r="K111" s="3">
        <v>12040</v>
      </c>
      <c r="L111" s="3">
        <v>4860</v>
      </c>
    </row>
    <row r="112" spans="1:12" x14ac:dyDescent="0.3">
      <c r="A112" s="2">
        <v>45403</v>
      </c>
      <c r="B112" t="s">
        <v>61</v>
      </c>
      <c r="C112" t="s">
        <v>45</v>
      </c>
      <c r="D112" t="s">
        <v>46</v>
      </c>
      <c r="E112" t="s">
        <v>23</v>
      </c>
      <c r="F112" t="s">
        <v>24</v>
      </c>
      <c r="G112">
        <v>46</v>
      </c>
      <c r="H112" s="3">
        <v>589</v>
      </c>
      <c r="I112" s="3">
        <v>1129</v>
      </c>
      <c r="J112" s="3">
        <v>27094</v>
      </c>
      <c r="K112" s="3">
        <v>51934</v>
      </c>
      <c r="L112" s="3">
        <v>24840</v>
      </c>
    </row>
    <row r="113" spans="1:12" x14ac:dyDescent="0.3">
      <c r="A113" s="2">
        <v>45404</v>
      </c>
      <c r="B113" t="s">
        <v>25</v>
      </c>
      <c r="C113" t="s">
        <v>13</v>
      </c>
      <c r="D113" t="s">
        <v>67</v>
      </c>
      <c r="E113" t="s">
        <v>63</v>
      </c>
      <c r="F113" t="s">
        <v>16</v>
      </c>
      <c r="G113">
        <v>90</v>
      </c>
      <c r="H113" s="3">
        <v>903</v>
      </c>
      <c r="I113" s="3">
        <v>1695</v>
      </c>
      <c r="J113" s="3">
        <v>81270</v>
      </c>
      <c r="K113" s="3">
        <v>152550</v>
      </c>
      <c r="L113" s="3">
        <v>71280</v>
      </c>
    </row>
    <row r="114" spans="1:12" x14ac:dyDescent="0.3">
      <c r="A114" s="2">
        <v>45405</v>
      </c>
      <c r="B114" t="s">
        <v>78</v>
      </c>
      <c r="C114" t="s">
        <v>45</v>
      </c>
      <c r="D114" t="s">
        <v>70</v>
      </c>
      <c r="E114" t="s">
        <v>65</v>
      </c>
      <c r="F114" t="s">
        <v>24</v>
      </c>
      <c r="G114">
        <v>92</v>
      </c>
      <c r="H114" s="3">
        <v>452</v>
      </c>
      <c r="I114" s="3">
        <v>955</v>
      </c>
      <c r="J114" s="3">
        <v>41584</v>
      </c>
      <c r="K114" s="3">
        <v>87860</v>
      </c>
      <c r="L114" s="3">
        <v>46276</v>
      </c>
    </row>
    <row r="115" spans="1:12" x14ac:dyDescent="0.3">
      <c r="A115" s="2">
        <v>45406</v>
      </c>
      <c r="B115" t="s">
        <v>28</v>
      </c>
      <c r="C115" t="s">
        <v>13</v>
      </c>
      <c r="D115" t="s">
        <v>14</v>
      </c>
      <c r="E115" t="s">
        <v>49</v>
      </c>
      <c r="F115" t="s">
        <v>16</v>
      </c>
      <c r="G115">
        <v>86</v>
      </c>
      <c r="H115" s="3">
        <v>882</v>
      </c>
      <c r="I115" s="3">
        <v>1874</v>
      </c>
      <c r="J115" s="3">
        <v>75852</v>
      </c>
      <c r="K115" s="3">
        <v>161164</v>
      </c>
      <c r="L115" s="3">
        <v>85312</v>
      </c>
    </row>
    <row r="116" spans="1:12" x14ac:dyDescent="0.3">
      <c r="A116" s="2">
        <v>45407</v>
      </c>
      <c r="B116" t="s">
        <v>25</v>
      </c>
      <c r="C116" t="s">
        <v>13</v>
      </c>
      <c r="D116" t="s">
        <v>80</v>
      </c>
      <c r="E116" t="s">
        <v>15</v>
      </c>
      <c r="F116" t="s">
        <v>16</v>
      </c>
      <c r="G116">
        <v>99</v>
      </c>
      <c r="H116" s="3">
        <v>712</v>
      </c>
      <c r="I116" s="3">
        <v>1527</v>
      </c>
      <c r="J116" s="3">
        <v>70488</v>
      </c>
      <c r="K116" s="3">
        <v>151173</v>
      </c>
      <c r="L116" s="3">
        <v>80685</v>
      </c>
    </row>
    <row r="117" spans="1:12" x14ac:dyDescent="0.3">
      <c r="A117" s="2">
        <v>45408</v>
      </c>
      <c r="B117" t="s">
        <v>54</v>
      </c>
      <c r="C117" t="s">
        <v>18</v>
      </c>
      <c r="D117" t="s">
        <v>52</v>
      </c>
      <c r="E117" t="s">
        <v>71</v>
      </c>
      <c r="F117" t="s">
        <v>24</v>
      </c>
      <c r="G117">
        <v>86</v>
      </c>
      <c r="H117" s="3">
        <v>340</v>
      </c>
      <c r="I117" s="3">
        <v>712</v>
      </c>
      <c r="J117" s="3">
        <v>29240</v>
      </c>
      <c r="K117" s="3">
        <v>61232</v>
      </c>
      <c r="L117" s="3">
        <v>31992</v>
      </c>
    </row>
    <row r="118" spans="1:12" x14ac:dyDescent="0.3">
      <c r="A118" s="2">
        <v>45409</v>
      </c>
      <c r="B118" t="s">
        <v>57</v>
      </c>
      <c r="C118" t="s">
        <v>37</v>
      </c>
      <c r="D118" t="s">
        <v>42</v>
      </c>
      <c r="E118" t="s">
        <v>35</v>
      </c>
      <c r="F118" t="s">
        <v>24</v>
      </c>
      <c r="G118">
        <v>21</v>
      </c>
      <c r="H118" s="3">
        <v>534</v>
      </c>
      <c r="I118" s="3">
        <v>1155</v>
      </c>
      <c r="J118" s="3">
        <v>11214</v>
      </c>
      <c r="K118" s="3">
        <v>24255</v>
      </c>
      <c r="L118" s="3">
        <v>13041</v>
      </c>
    </row>
    <row r="119" spans="1:12" x14ac:dyDescent="0.3">
      <c r="A119" s="2">
        <v>45410</v>
      </c>
      <c r="B119" t="s">
        <v>79</v>
      </c>
      <c r="C119" t="s">
        <v>18</v>
      </c>
      <c r="D119" t="s">
        <v>19</v>
      </c>
      <c r="E119" t="s">
        <v>27</v>
      </c>
      <c r="F119" t="s">
        <v>16</v>
      </c>
      <c r="G119">
        <v>83</v>
      </c>
      <c r="H119" s="3">
        <v>341</v>
      </c>
      <c r="I119" s="3">
        <v>673</v>
      </c>
      <c r="J119" s="3">
        <v>28303</v>
      </c>
      <c r="K119" s="3">
        <v>55859</v>
      </c>
      <c r="L119" s="3">
        <v>27556</v>
      </c>
    </row>
    <row r="120" spans="1:12" x14ac:dyDescent="0.3">
      <c r="A120" s="2">
        <v>45411</v>
      </c>
      <c r="B120" t="s">
        <v>82</v>
      </c>
      <c r="C120" t="s">
        <v>45</v>
      </c>
      <c r="D120" t="s">
        <v>53</v>
      </c>
      <c r="E120" t="s">
        <v>41</v>
      </c>
      <c r="F120" t="s">
        <v>16</v>
      </c>
      <c r="G120">
        <v>45</v>
      </c>
      <c r="H120" s="3">
        <v>485</v>
      </c>
      <c r="I120" s="3">
        <v>1065</v>
      </c>
      <c r="J120" s="3">
        <v>21825</v>
      </c>
      <c r="K120" s="3">
        <v>47925</v>
      </c>
      <c r="L120" s="3">
        <v>26100</v>
      </c>
    </row>
    <row r="121" spans="1:12" x14ac:dyDescent="0.3">
      <c r="A121" s="2">
        <v>45412</v>
      </c>
      <c r="B121" t="s">
        <v>69</v>
      </c>
      <c r="C121" t="s">
        <v>45</v>
      </c>
      <c r="D121" t="s">
        <v>70</v>
      </c>
      <c r="E121" t="s">
        <v>71</v>
      </c>
      <c r="F121" t="s">
        <v>16</v>
      </c>
      <c r="G121">
        <v>62</v>
      </c>
      <c r="H121" s="3">
        <v>641</v>
      </c>
      <c r="I121" s="3">
        <v>996</v>
      </c>
      <c r="J121" s="3">
        <v>39742</v>
      </c>
      <c r="K121" s="3">
        <v>61752</v>
      </c>
      <c r="L121" s="3">
        <v>22010</v>
      </c>
    </row>
    <row r="122" spans="1:12" x14ac:dyDescent="0.3">
      <c r="A122" s="2">
        <v>45413</v>
      </c>
      <c r="B122" t="s">
        <v>17</v>
      </c>
      <c r="C122" t="s">
        <v>29</v>
      </c>
      <c r="D122" t="s">
        <v>30</v>
      </c>
      <c r="E122" t="s">
        <v>51</v>
      </c>
      <c r="F122" t="s">
        <v>16</v>
      </c>
      <c r="G122">
        <v>46</v>
      </c>
      <c r="H122" s="3">
        <v>978</v>
      </c>
      <c r="I122" s="3">
        <v>2100</v>
      </c>
      <c r="J122" s="3">
        <v>44988</v>
      </c>
      <c r="K122" s="3">
        <v>96600</v>
      </c>
      <c r="L122" s="3">
        <v>51612</v>
      </c>
    </row>
    <row r="123" spans="1:12" x14ac:dyDescent="0.3">
      <c r="A123" s="2">
        <v>45414</v>
      </c>
      <c r="B123" t="s">
        <v>50</v>
      </c>
      <c r="C123" t="s">
        <v>13</v>
      </c>
      <c r="D123" t="s">
        <v>80</v>
      </c>
      <c r="E123" t="s">
        <v>31</v>
      </c>
      <c r="F123" t="s">
        <v>16</v>
      </c>
      <c r="G123">
        <v>42</v>
      </c>
      <c r="H123" s="3">
        <v>631</v>
      </c>
      <c r="I123" s="3">
        <v>858</v>
      </c>
      <c r="J123" s="3">
        <v>26502</v>
      </c>
      <c r="K123" s="3">
        <v>36036</v>
      </c>
      <c r="L123" s="3">
        <v>9534</v>
      </c>
    </row>
    <row r="124" spans="1:12" x14ac:dyDescent="0.3">
      <c r="A124" s="2">
        <v>45415</v>
      </c>
      <c r="B124" t="s">
        <v>33</v>
      </c>
      <c r="C124" t="s">
        <v>18</v>
      </c>
      <c r="D124" t="s">
        <v>19</v>
      </c>
      <c r="E124" t="s">
        <v>41</v>
      </c>
      <c r="F124" t="s">
        <v>16</v>
      </c>
      <c r="G124">
        <v>62</v>
      </c>
      <c r="H124" s="3">
        <v>355</v>
      </c>
      <c r="I124" s="3">
        <v>507</v>
      </c>
      <c r="J124" s="3">
        <v>22010</v>
      </c>
      <c r="K124" s="3">
        <v>31434</v>
      </c>
      <c r="L124" s="3">
        <v>9424</v>
      </c>
    </row>
    <row r="125" spans="1:12" x14ac:dyDescent="0.3">
      <c r="A125" s="2">
        <v>45416</v>
      </c>
      <c r="B125" t="s">
        <v>32</v>
      </c>
      <c r="C125" t="s">
        <v>18</v>
      </c>
      <c r="D125" t="s">
        <v>52</v>
      </c>
      <c r="E125" t="s">
        <v>41</v>
      </c>
      <c r="F125" t="s">
        <v>16</v>
      </c>
      <c r="G125">
        <v>16</v>
      </c>
      <c r="H125" s="3">
        <v>508</v>
      </c>
      <c r="I125" s="3">
        <v>763</v>
      </c>
      <c r="J125" s="3">
        <v>8128</v>
      </c>
      <c r="K125" s="3">
        <v>12208</v>
      </c>
      <c r="L125" s="3">
        <v>4080</v>
      </c>
    </row>
    <row r="126" spans="1:12" x14ac:dyDescent="0.3">
      <c r="A126" s="2">
        <v>45417</v>
      </c>
      <c r="B126" t="s">
        <v>28</v>
      </c>
      <c r="C126" t="s">
        <v>37</v>
      </c>
      <c r="D126" t="s">
        <v>64</v>
      </c>
      <c r="E126" t="s">
        <v>63</v>
      </c>
      <c r="F126" t="s">
        <v>16</v>
      </c>
      <c r="G126">
        <v>25</v>
      </c>
      <c r="H126" s="3">
        <v>329</v>
      </c>
      <c r="I126" s="3">
        <v>715</v>
      </c>
      <c r="J126" s="3">
        <v>8225</v>
      </c>
      <c r="K126" s="3">
        <v>17875</v>
      </c>
      <c r="L126" s="3">
        <v>9650</v>
      </c>
    </row>
    <row r="127" spans="1:12" x14ac:dyDescent="0.3">
      <c r="A127" s="2">
        <v>45418</v>
      </c>
      <c r="B127" t="s">
        <v>61</v>
      </c>
      <c r="C127" t="s">
        <v>29</v>
      </c>
      <c r="D127" t="s">
        <v>60</v>
      </c>
      <c r="E127" t="s">
        <v>35</v>
      </c>
      <c r="F127" t="s">
        <v>24</v>
      </c>
      <c r="G127">
        <v>80</v>
      </c>
      <c r="H127" s="3">
        <v>717</v>
      </c>
      <c r="I127" s="3">
        <v>959</v>
      </c>
      <c r="J127" s="3">
        <v>57360</v>
      </c>
      <c r="K127" s="3">
        <v>76720</v>
      </c>
      <c r="L127" s="3">
        <v>19360</v>
      </c>
    </row>
    <row r="128" spans="1:12" x14ac:dyDescent="0.3">
      <c r="A128" s="2">
        <v>45419</v>
      </c>
      <c r="B128" t="s">
        <v>17</v>
      </c>
      <c r="C128" t="s">
        <v>45</v>
      </c>
      <c r="D128" t="s">
        <v>70</v>
      </c>
      <c r="E128" t="s">
        <v>41</v>
      </c>
      <c r="F128" t="s">
        <v>24</v>
      </c>
      <c r="G128">
        <v>73</v>
      </c>
      <c r="H128" s="3">
        <v>598</v>
      </c>
      <c r="I128" s="3">
        <v>1036</v>
      </c>
      <c r="J128" s="3">
        <v>43654</v>
      </c>
      <c r="K128" s="3">
        <v>75628</v>
      </c>
      <c r="L128" s="3">
        <v>31974</v>
      </c>
    </row>
    <row r="129" spans="1:12" x14ac:dyDescent="0.3">
      <c r="A129" s="2">
        <v>45420</v>
      </c>
      <c r="B129" t="s">
        <v>68</v>
      </c>
      <c r="C129" t="s">
        <v>45</v>
      </c>
      <c r="D129" t="s">
        <v>48</v>
      </c>
      <c r="E129" t="s">
        <v>71</v>
      </c>
      <c r="F129" t="s">
        <v>24</v>
      </c>
      <c r="G129">
        <v>68</v>
      </c>
      <c r="H129" s="3">
        <v>864</v>
      </c>
      <c r="I129" s="3">
        <v>1198</v>
      </c>
      <c r="J129" s="3">
        <v>58752</v>
      </c>
      <c r="K129" s="3">
        <v>81464</v>
      </c>
      <c r="L129" s="3">
        <v>22712</v>
      </c>
    </row>
    <row r="130" spans="1:12" x14ac:dyDescent="0.3">
      <c r="A130" s="2">
        <v>45421</v>
      </c>
      <c r="B130" t="s">
        <v>78</v>
      </c>
      <c r="C130" t="s">
        <v>18</v>
      </c>
      <c r="D130" t="s">
        <v>22</v>
      </c>
      <c r="E130" t="s">
        <v>15</v>
      </c>
      <c r="F130" t="s">
        <v>24</v>
      </c>
      <c r="G130">
        <v>18</v>
      </c>
      <c r="H130" s="3">
        <v>582</v>
      </c>
      <c r="I130" s="3">
        <v>1154</v>
      </c>
      <c r="J130" s="3">
        <v>10476</v>
      </c>
      <c r="K130" s="3">
        <v>20772</v>
      </c>
      <c r="L130" s="3">
        <v>10296</v>
      </c>
    </row>
    <row r="131" spans="1:12" x14ac:dyDescent="0.3">
      <c r="A131" s="2">
        <v>45422</v>
      </c>
      <c r="B131" t="s">
        <v>69</v>
      </c>
      <c r="C131" t="s">
        <v>37</v>
      </c>
      <c r="D131" t="s">
        <v>42</v>
      </c>
      <c r="E131" t="s">
        <v>35</v>
      </c>
      <c r="F131" t="s">
        <v>24</v>
      </c>
      <c r="G131">
        <v>46</v>
      </c>
      <c r="H131" s="3">
        <v>605</v>
      </c>
      <c r="I131" s="3">
        <v>1237</v>
      </c>
      <c r="J131" s="3">
        <v>27830</v>
      </c>
      <c r="K131" s="3">
        <v>56902</v>
      </c>
      <c r="L131" s="3">
        <v>29072</v>
      </c>
    </row>
    <row r="132" spans="1:12" x14ac:dyDescent="0.3">
      <c r="A132" s="2">
        <v>45423</v>
      </c>
      <c r="B132" t="s">
        <v>79</v>
      </c>
      <c r="C132" t="s">
        <v>45</v>
      </c>
      <c r="D132" t="s">
        <v>62</v>
      </c>
      <c r="E132" t="s">
        <v>71</v>
      </c>
      <c r="F132" t="s">
        <v>16</v>
      </c>
      <c r="G132">
        <v>54</v>
      </c>
      <c r="H132" s="3">
        <v>640</v>
      </c>
      <c r="I132" s="3">
        <v>1135</v>
      </c>
      <c r="J132" s="3">
        <v>34560</v>
      </c>
      <c r="K132" s="3">
        <v>61290</v>
      </c>
      <c r="L132" s="3">
        <v>26730</v>
      </c>
    </row>
    <row r="133" spans="1:12" x14ac:dyDescent="0.3">
      <c r="A133" s="2">
        <v>45424</v>
      </c>
      <c r="B133" t="s">
        <v>50</v>
      </c>
      <c r="C133" t="s">
        <v>45</v>
      </c>
      <c r="D133" t="s">
        <v>48</v>
      </c>
      <c r="E133" t="s">
        <v>63</v>
      </c>
      <c r="F133" t="s">
        <v>16</v>
      </c>
      <c r="G133">
        <v>34</v>
      </c>
      <c r="H133" s="3">
        <v>544</v>
      </c>
      <c r="I133" s="3">
        <v>975</v>
      </c>
      <c r="J133" s="3">
        <v>18496</v>
      </c>
      <c r="K133" s="3">
        <v>33150</v>
      </c>
      <c r="L133" s="3">
        <v>14654</v>
      </c>
    </row>
    <row r="134" spans="1:12" x14ac:dyDescent="0.3">
      <c r="A134" s="2">
        <v>45425</v>
      </c>
      <c r="B134" t="s">
        <v>21</v>
      </c>
      <c r="C134" t="s">
        <v>45</v>
      </c>
      <c r="D134" t="s">
        <v>70</v>
      </c>
      <c r="E134" t="s">
        <v>39</v>
      </c>
      <c r="F134" t="s">
        <v>16</v>
      </c>
      <c r="G134">
        <v>100</v>
      </c>
      <c r="H134" s="3">
        <v>690</v>
      </c>
      <c r="I134" s="3">
        <v>1115</v>
      </c>
      <c r="J134" s="3">
        <v>69000</v>
      </c>
      <c r="K134" s="3">
        <v>111500</v>
      </c>
      <c r="L134" s="3">
        <v>42500</v>
      </c>
    </row>
    <row r="135" spans="1:12" x14ac:dyDescent="0.3">
      <c r="A135" s="2">
        <v>45426</v>
      </c>
      <c r="B135" t="s">
        <v>40</v>
      </c>
      <c r="C135" t="s">
        <v>29</v>
      </c>
      <c r="D135" t="s">
        <v>74</v>
      </c>
      <c r="E135" t="s">
        <v>23</v>
      </c>
      <c r="F135" t="s">
        <v>24</v>
      </c>
      <c r="G135">
        <v>74</v>
      </c>
      <c r="H135" s="3">
        <v>904</v>
      </c>
      <c r="I135" s="3">
        <v>1415</v>
      </c>
      <c r="J135" s="3">
        <v>66896</v>
      </c>
      <c r="K135" s="3">
        <v>104710</v>
      </c>
      <c r="L135" s="3">
        <v>37814</v>
      </c>
    </row>
    <row r="136" spans="1:12" x14ac:dyDescent="0.3">
      <c r="A136" s="2">
        <v>45427</v>
      </c>
      <c r="B136" t="s">
        <v>17</v>
      </c>
      <c r="C136" t="s">
        <v>45</v>
      </c>
      <c r="D136" t="s">
        <v>70</v>
      </c>
      <c r="E136" t="s">
        <v>65</v>
      </c>
      <c r="F136" t="s">
        <v>16</v>
      </c>
      <c r="G136">
        <v>11</v>
      </c>
      <c r="H136" s="3">
        <v>447</v>
      </c>
      <c r="I136" s="3">
        <v>732</v>
      </c>
      <c r="J136" s="3">
        <v>4917</v>
      </c>
      <c r="K136" s="3">
        <v>8052</v>
      </c>
      <c r="L136" s="3">
        <v>3135</v>
      </c>
    </row>
    <row r="137" spans="1:12" x14ac:dyDescent="0.3">
      <c r="A137" s="2">
        <v>45428</v>
      </c>
      <c r="B137" t="s">
        <v>12</v>
      </c>
      <c r="C137" t="s">
        <v>29</v>
      </c>
      <c r="D137" t="s">
        <v>59</v>
      </c>
      <c r="E137" t="s">
        <v>71</v>
      </c>
      <c r="F137" t="s">
        <v>16</v>
      </c>
      <c r="G137">
        <v>53</v>
      </c>
      <c r="H137" s="3">
        <v>938</v>
      </c>
      <c r="I137" s="3">
        <v>1789</v>
      </c>
      <c r="J137" s="3">
        <v>49714</v>
      </c>
      <c r="K137" s="3">
        <v>94817</v>
      </c>
      <c r="L137" s="3">
        <v>45103</v>
      </c>
    </row>
    <row r="138" spans="1:12" x14ac:dyDescent="0.3">
      <c r="A138" s="2">
        <v>45429</v>
      </c>
      <c r="B138" t="s">
        <v>12</v>
      </c>
      <c r="C138" t="s">
        <v>13</v>
      </c>
      <c r="D138" t="s">
        <v>77</v>
      </c>
      <c r="E138" t="s">
        <v>55</v>
      </c>
      <c r="F138" t="s">
        <v>16</v>
      </c>
      <c r="G138">
        <v>50</v>
      </c>
      <c r="H138" s="3">
        <v>941</v>
      </c>
      <c r="I138" s="3">
        <v>1818</v>
      </c>
      <c r="J138" s="3">
        <v>47050</v>
      </c>
      <c r="K138" s="3">
        <v>90900</v>
      </c>
      <c r="L138" s="3">
        <v>43850</v>
      </c>
    </row>
    <row r="139" spans="1:12" x14ac:dyDescent="0.3">
      <c r="A139" s="2">
        <v>45430</v>
      </c>
      <c r="B139" t="s">
        <v>47</v>
      </c>
      <c r="C139" t="s">
        <v>18</v>
      </c>
      <c r="D139" t="s">
        <v>19</v>
      </c>
      <c r="E139" t="s">
        <v>20</v>
      </c>
      <c r="F139" t="s">
        <v>24</v>
      </c>
      <c r="G139">
        <v>40</v>
      </c>
      <c r="H139" s="3">
        <v>946</v>
      </c>
      <c r="I139" s="3">
        <v>1797</v>
      </c>
      <c r="J139" s="3">
        <v>37840</v>
      </c>
      <c r="K139" s="3">
        <v>71880</v>
      </c>
      <c r="L139" s="3">
        <v>34040</v>
      </c>
    </row>
    <row r="140" spans="1:12" x14ac:dyDescent="0.3">
      <c r="A140" s="2">
        <v>45431</v>
      </c>
      <c r="B140" t="s">
        <v>58</v>
      </c>
      <c r="C140" t="s">
        <v>29</v>
      </c>
      <c r="D140" t="s">
        <v>59</v>
      </c>
      <c r="E140" t="s">
        <v>51</v>
      </c>
      <c r="F140" t="s">
        <v>24</v>
      </c>
      <c r="G140">
        <v>91</v>
      </c>
      <c r="H140" s="3">
        <v>402</v>
      </c>
      <c r="I140" s="3">
        <v>671</v>
      </c>
      <c r="J140" s="3">
        <v>36582</v>
      </c>
      <c r="K140" s="3">
        <v>61061</v>
      </c>
      <c r="L140" s="3">
        <v>24479</v>
      </c>
    </row>
    <row r="141" spans="1:12" x14ac:dyDescent="0.3">
      <c r="A141" s="2">
        <v>45432</v>
      </c>
      <c r="B141" t="s">
        <v>66</v>
      </c>
      <c r="C141" t="s">
        <v>37</v>
      </c>
      <c r="D141" t="s">
        <v>81</v>
      </c>
      <c r="E141" t="s">
        <v>23</v>
      </c>
      <c r="F141" t="s">
        <v>16</v>
      </c>
      <c r="G141">
        <v>17</v>
      </c>
      <c r="H141" s="3">
        <v>600</v>
      </c>
      <c r="I141" s="3">
        <v>954</v>
      </c>
      <c r="J141" s="3">
        <v>10200</v>
      </c>
      <c r="K141" s="3">
        <v>16218</v>
      </c>
      <c r="L141" s="3">
        <v>6018</v>
      </c>
    </row>
    <row r="142" spans="1:12" x14ac:dyDescent="0.3">
      <c r="A142" s="2">
        <v>45433</v>
      </c>
      <c r="B142" t="s">
        <v>69</v>
      </c>
      <c r="C142" t="s">
        <v>29</v>
      </c>
      <c r="D142" t="s">
        <v>60</v>
      </c>
      <c r="E142" t="s">
        <v>65</v>
      </c>
      <c r="F142" t="s">
        <v>16</v>
      </c>
      <c r="G142">
        <v>82</v>
      </c>
      <c r="H142" s="3">
        <v>998</v>
      </c>
      <c r="I142" s="3">
        <v>1998</v>
      </c>
      <c r="J142" s="3">
        <v>81836</v>
      </c>
      <c r="K142" s="3">
        <v>163836</v>
      </c>
      <c r="L142" s="3">
        <v>82000</v>
      </c>
    </row>
    <row r="143" spans="1:12" x14ac:dyDescent="0.3">
      <c r="A143" s="2">
        <v>45434</v>
      </c>
      <c r="B143" t="s">
        <v>82</v>
      </c>
      <c r="C143" t="s">
        <v>29</v>
      </c>
      <c r="D143" t="s">
        <v>59</v>
      </c>
      <c r="E143" t="s">
        <v>20</v>
      </c>
      <c r="F143" t="s">
        <v>16</v>
      </c>
      <c r="G143">
        <v>89</v>
      </c>
      <c r="H143" s="3">
        <v>999</v>
      </c>
      <c r="I143" s="3">
        <v>1477</v>
      </c>
      <c r="J143" s="3">
        <v>88911</v>
      </c>
      <c r="K143" s="3">
        <v>131453</v>
      </c>
      <c r="L143" s="3">
        <v>42542</v>
      </c>
    </row>
    <row r="144" spans="1:12" x14ac:dyDescent="0.3">
      <c r="A144" s="2">
        <v>45435</v>
      </c>
      <c r="B144" t="s">
        <v>79</v>
      </c>
      <c r="C144" t="s">
        <v>29</v>
      </c>
      <c r="D144" t="s">
        <v>60</v>
      </c>
      <c r="E144" t="s">
        <v>71</v>
      </c>
      <c r="F144" t="s">
        <v>16</v>
      </c>
      <c r="G144">
        <v>68</v>
      </c>
      <c r="H144" s="3">
        <v>561</v>
      </c>
      <c r="I144" s="3">
        <v>1056</v>
      </c>
      <c r="J144" s="3">
        <v>38148</v>
      </c>
      <c r="K144" s="3">
        <v>71808</v>
      </c>
      <c r="L144" s="3">
        <v>33660</v>
      </c>
    </row>
    <row r="145" spans="1:12" x14ac:dyDescent="0.3">
      <c r="A145" s="2">
        <v>45436</v>
      </c>
      <c r="B145" t="s">
        <v>25</v>
      </c>
      <c r="C145" t="s">
        <v>37</v>
      </c>
      <c r="D145" t="s">
        <v>42</v>
      </c>
      <c r="E145" t="s">
        <v>49</v>
      </c>
      <c r="F145" t="s">
        <v>24</v>
      </c>
      <c r="G145">
        <v>66</v>
      </c>
      <c r="H145" s="3">
        <v>653</v>
      </c>
      <c r="I145" s="3">
        <v>1428</v>
      </c>
      <c r="J145" s="3">
        <v>43098</v>
      </c>
      <c r="K145" s="3">
        <v>94248</v>
      </c>
      <c r="L145" s="3">
        <v>51150</v>
      </c>
    </row>
    <row r="146" spans="1:12" x14ac:dyDescent="0.3">
      <c r="A146" s="2">
        <v>45437</v>
      </c>
      <c r="B146" t="s">
        <v>58</v>
      </c>
      <c r="C146" t="s">
        <v>45</v>
      </c>
      <c r="D146" t="s">
        <v>46</v>
      </c>
      <c r="E146" t="s">
        <v>71</v>
      </c>
      <c r="F146" t="s">
        <v>16</v>
      </c>
      <c r="G146">
        <v>35</v>
      </c>
      <c r="H146" s="3">
        <v>693</v>
      </c>
      <c r="I146" s="3">
        <v>1428</v>
      </c>
      <c r="J146" s="3">
        <v>24255</v>
      </c>
      <c r="K146" s="3">
        <v>49980</v>
      </c>
      <c r="L146" s="3">
        <v>25725</v>
      </c>
    </row>
    <row r="147" spans="1:12" x14ac:dyDescent="0.3">
      <c r="A147" s="2">
        <v>45438</v>
      </c>
      <c r="B147" t="s">
        <v>17</v>
      </c>
      <c r="C147" t="s">
        <v>29</v>
      </c>
      <c r="D147" t="s">
        <v>74</v>
      </c>
      <c r="E147" t="s">
        <v>20</v>
      </c>
      <c r="F147" t="s">
        <v>16</v>
      </c>
      <c r="G147">
        <v>83</v>
      </c>
      <c r="H147" s="3">
        <v>602</v>
      </c>
      <c r="I147" s="3">
        <v>1320</v>
      </c>
      <c r="J147" s="3">
        <v>49966</v>
      </c>
      <c r="K147" s="3">
        <v>109560</v>
      </c>
      <c r="L147" s="3">
        <v>59594</v>
      </c>
    </row>
    <row r="148" spans="1:12" x14ac:dyDescent="0.3">
      <c r="A148" s="2">
        <v>45439</v>
      </c>
      <c r="B148" t="s">
        <v>58</v>
      </c>
      <c r="C148" t="s">
        <v>13</v>
      </c>
      <c r="D148" t="s">
        <v>80</v>
      </c>
      <c r="E148" t="s">
        <v>35</v>
      </c>
      <c r="F148" t="s">
        <v>24</v>
      </c>
      <c r="G148">
        <v>82</v>
      </c>
      <c r="H148" s="3">
        <v>350</v>
      </c>
      <c r="I148" s="3">
        <v>740</v>
      </c>
      <c r="J148" s="3">
        <v>28700</v>
      </c>
      <c r="K148" s="3">
        <v>60680</v>
      </c>
      <c r="L148" s="3">
        <v>31980</v>
      </c>
    </row>
    <row r="149" spans="1:12" x14ac:dyDescent="0.3">
      <c r="A149" s="2">
        <v>45440</v>
      </c>
      <c r="B149" t="s">
        <v>57</v>
      </c>
      <c r="C149" t="s">
        <v>45</v>
      </c>
      <c r="D149" t="s">
        <v>46</v>
      </c>
      <c r="E149" t="s">
        <v>27</v>
      </c>
      <c r="F149" t="s">
        <v>24</v>
      </c>
      <c r="G149">
        <v>87</v>
      </c>
      <c r="H149" s="3">
        <v>660</v>
      </c>
      <c r="I149" s="3">
        <v>962</v>
      </c>
      <c r="J149" s="3">
        <v>57420</v>
      </c>
      <c r="K149" s="3">
        <v>83694</v>
      </c>
      <c r="L149" s="3">
        <v>26274</v>
      </c>
    </row>
    <row r="150" spans="1:12" x14ac:dyDescent="0.3">
      <c r="A150" s="2">
        <v>45441</v>
      </c>
      <c r="B150" t="s">
        <v>78</v>
      </c>
      <c r="C150" t="s">
        <v>18</v>
      </c>
      <c r="D150" t="s">
        <v>26</v>
      </c>
      <c r="E150" t="s">
        <v>41</v>
      </c>
      <c r="F150" t="s">
        <v>24</v>
      </c>
      <c r="G150">
        <v>90</v>
      </c>
      <c r="H150" s="3">
        <v>399</v>
      </c>
      <c r="I150" s="3">
        <v>841</v>
      </c>
      <c r="J150" s="3">
        <v>35910</v>
      </c>
      <c r="K150" s="3">
        <v>75690</v>
      </c>
      <c r="L150" s="3">
        <v>39780</v>
      </c>
    </row>
    <row r="151" spans="1:12" x14ac:dyDescent="0.3">
      <c r="A151" s="2">
        <v>45442</v>
      </c>
      <c r="B151" t="s">
        <v>12</v>
      </c>
      <c r="C151" t="s">
        <v>13</v>
      </c>
      <c r="D151" t="s">
        <v>77</v>
      </c>
      <c r="E151" t="s">
        <v>27</v>
      </c>
      <c r="F151" t="s">
        <v>16</v>
      </c>
      <c r="G151">
        <v>14</v>
      </c>
      <c r="H151" s="3">
        <v>893</v>
      </c>
      <c r="I151" s="3">
        <v>1425</v>
      </c>
      <c r="J151" s="3">
        <v>12502</v>
      </c>
      <c r="K151" s="3">
        <v>19950</v>
      </c>
      <c r="L151" s="3">
        <v>7448</v>
      </c>
    </row>
  </sheetData>
  <autoFilter ref="A1:L151" xr:uid="{00000000-0009-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4.4" x14ac:dyDescent="0.3"/>
  <cols>
    <col min="1" max="1" width="28" customWidth="1"/>
    <col min="2" max="2" width="55" customWidth="1"/>
  </cols>
  <sheetData>
    <row r="1" spans="1:2" ht="21" x14ac:dyDescent="0.4">
      <c r="A1" s="4" t="s">
        <v>83</v>
      </c>
    </row>
    <row r="2" spans="1:2" x14ac:dyDescent="0.3">
      <c r="A2" t="s">
        <v>84</v>
      </c>
    </row>
    <row r="3" spans="1:2" x14ac:dyDescent="0.3">
      <c r="A3" t="s">
        <v>85</v>
      </c>
      <c r="B3" t="s">
        <v>86</v>
      </c>
    </row>
    <row r="4" spans="1:2" x14ac:dyDescent="0.3">
      <c r="A4" t="s">
        <v>87</v>
      </c>
      <c r="B4" t="s">
        <v>88</v>
      </c>
    </row>
    <row r="5" spans="1:2" x14ac:dyDescent="0.3">
      <c r="A5" t="s">
        <v>89</v>
      </c>
      <c r="B5" t="s">
        <v>90</v>
      </c>
    </row>
    <row r="6" spans="1:2" x14ac:dyDescent="0.3">
      <c r="A6" t="s">
        <v>91</v>
      </c>
      <c r="B6" t="s">
        <v>92</v>
      </c>
    </row>
    <row r="7" spans="1:2" x14ac:dyDescent="0.3">
      <c r="A7" t="s">
        <v>93</v>
      </c>
      <c r="B7" t="s">
        <v>94</v>
      </c>
    </row>
    <row r="8" spans="1:2" x14ac:dyDescent="0.3">
      <c r="A8" t="s">
        <v>95</v>
      </c>
      <c r="B8" t="s">
        <v>96</v>
      </c>
    </row>
    <row r="9" spans="1:2" x14ac:dyDescent="0.3">
      <c r="A9" t="s">
        <v>97</v>
      </c>
      <c r="B9" t="s">
        <v>98</v>
      </c>
    </row>
    <row r="10" spans="1:2" x14ac:dyDescent="0.3">
      <c r="A10" t="s">
        <v>99</v>
      </c>
      <c r="B10" t="s">
        <v>100</v>
      </c>
    </row>
    <row r="11" spans="1:2" x14ac:dyDescent="0.3">
      <c r="A11" t="s">
        <v>101</v>
      </c>
      <c r="B11" t="s">
        <v>102</v>
      </c>
    </row>
    <row r="12" spans="1:2" x14ac:dyDescent="0.3">
      <c r="A12" t="s">
        <v>103</v>
      </c>
      <c r="B12" t="s">
        <v>104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 FInal</vt:lpstr>
      <vt:lpstr>Sales Data</vt:lpstr>
      <vt:lpstr>Dashboard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Adarsh Shukla</cp:lastModifiedBy>
  <dcterms:created xsi:type="dcterms:W3CDTF">2026-09-03T10:58:27Z</dcterms:created>
  <dcterms:modified xsi:type="dcterms:W3CDTF">2026-09-22T12:24:28Z</dcterms:modified>
</cp:coreProperties>
</file>